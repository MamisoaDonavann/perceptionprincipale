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CODE PC" sheetId="1" state="hidden" r:id="rId2"/>
    <sheet name="DONNEES" sheetId="2" state="hidden" r:id="rId3"/>
    <sheet name="SAISIE" sheetId="3" state="visible" r:id="rId4"/>
    <sheet name="OP à imprimer" sheetId="4" state="visible" r:id="rId5"/>
  </sheets>
  <definedNames>
    <definedName function="false" hidden="false" localSheetId="3" name="Print_Area" vbProcedure="false">'OP à imprimer'!$A$1:$J$52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<sst xmlns="http://schemas.openxmlformats.org/spreadsheetml/2006/main" count="871" uniqueCount="376">
  <si>
    <t xml:space="preserve">Code</t>
  </si>
  <si>
    <t xml:space="preserve">Poste comptable</t>
  </si>
  <si>
    <t xml:space="preserve">001</t>
  </si>
  <si>
    <t xml:space="preserve">ACCTDP</t>
  </si>
  <si>
    <t xml:space="preserve">002</t>
  </si>
  <si>
    <t xml:space="preserve">RGA</t>
  </si>
  <si>
    <t xml:space="preserve">003</t>
  </si>
  <si>
    <t xml:space="preserve">PP Faravohitra</t>
  </si>
  <si>
    <t xml:space="preserve">004</t>
  </si>
  <si>
    <t xml:space="preserve">PP Isotry</t>
  </si>
  <si>
    <t xml:space="preserve">005</t>
  </si>
  <si>
    <t xml:space="preserve">PP Ankadifotsy</t>
  </si>
  <si>
    <t xml:space="preserve">006</t>
  </si>
  <si>
    <t xml:space="preserve">PP Mahazoarivo</t>
  </si>
  <si>
    <t xml:space="preserve">007</t>
  </si>
  <si>
    <t xml:space="preserve">PP Besarety</t>
  </si>
  <si>
    <t xml:space="preserve">008</t>
  </si>
  <si>
    <t xml:space="preserve">PP Mahamasina</t>
  </si>
  <si>
    <t xml:space="preserve">009</t>
  </si>
  <si>
    <t xml:space="preserve">PP Ambatomainty</t>
  </si>
  <si>
    <t xml:space="preserve">010</t>
  </si>
  <si>
    <t xml:space="preserve">PP Anosipatrana</t>
  </si>
  <si>
    <t xml:space="preserve">011</t>
  </si>
  <si>
    <t xml:space="preserve">PP Ambohimanarina</t>
  </si>
  <si>
    <t xml:space="preserve">012</t>
  </si>
  <si>
    <t xml:space="preserve">PGA</t>
  </si>
  <si>
    <t xml:space="preserve">013</t>
  </si>
  <si>
    <t xml:space="preserve">PP Atsimondrano</t>
  </si>
  <si>
    <t xml:space="preserve">014</t>
  </si>
  <si>
    <t xml:space="preserve">PP Avaradrano</t>
  </si>
  <si>
    <t xml:space="preserve">015</t>
  </si>
  <si>
    <t xml:space="preserve">PP Ambohidratrimo</t>
  </si>
  <si>
    <t xml:space="preserve">016</t>
  </si>
  <si>
    <t xml:space="preserve">PP Andramasina</t>
  </si>
  <si>
    <t xml:space="preserve">017</t>
  </si>
  <si>
    <t xml:space="preserve">PP Anjozorobe</t>
  </si>
  <si>
    <t xml:space="preserve">018</t>
  </si>
  <si>
    <t xml:space="preserve">PP Ankazobe</t>
  </si>
  <si>
    <t xml:space="preserve">019</t>
  </si>
  <si>
    <t xml:space="preserve">PP Manjakandriana</t>
  </si>
  <si>
    <t xml:space="preserve">020</t>
  </si>
  <si>
    <t xml:space="preserve">TG Antsiranana</t>
  </si>
  <si>
    <t xml:space="preserve">021</t>
  </si>
  <si>
    <t xml:space="preserve">PP Ambilobe</t>
  </si>
  <si>
    <t xml:space="preserve">022</t>
  </si>
  <si>
    <t xml:space="preserve">TG Toamasina</t>
  </si>
  <si>
    <t xml:space="preserve">023</t>
  </si>
  <si>
    <t xml:space="preserve">PP Antanambao Manampontsy</t>
  </si>
  <si>
    <t xml:space="preserve">024</t>
  </si>
  <si>
    <t xml:space="preserve">PP Brickaville</t>
  </si>
  <si>
    <t xml:space="preserve">025</t>
  </si>
  <si>
    <t xml:space="preserve">PP Mahanoro</t>
  </si>
  <si>
    <t xml:space="preserve">026</t>
  </si>
  <si>
    <t xml:space="preserve">PP Marolambo</t>
  </si>
  <si>
    <t xml:space="preserve">027</t>
  </si>
  <si>
    <t xml:space="preserve">PP Vatomandry</t>
  </si>
  <si>
    <t xml:space="preserve">028</t>
  </si>
  <si>
    <t xml:space="preserve">TG Mahajanga</t>
  </si>
  <si>
    <t xml:space="preserve">029</t>
  </si>
  <si>
    <t xml:space="preserve">PP Ambatoboeny</t>
  </si>
  <si>
    <t xml:space="preserve">030</t>
  </si>
  <si>
    <t xml:space="preserve">PP Marovoay</t>
  </si>
  <si>
    <t xml:space="preserve">031</t>
  </si>
  <si>
    <t xml:space="preserve">PP Mitsinjo</t>
  </si>
  <si>
    <t xml:space="preserve">032</t>
  </si>
  <si>
    <t xml:space="preserve">PP Soalala</t>
  </si>
  <si>
    <t xml:space="preserve">033</t>
  </si>
  <si>
    <t xml:space="preserve">TG Fianarantsoa</t>
  </si>
  <si>
    <t xml:space="preserve">034</t>
  </si>
  <si>
    <t xml:space="preserve">PP Ambalavao</t>
  </si>
  <si>
    <t xml:space="preserve">035</t>
  </si>
  <si>
    <t xml:space="preserve">PP Ambohimahasoa</t>
  </si>
  <si>
    <t xml:space="preserve">036</t>
  </si>
  <si>
    <t xml:space="preserve">PP Ikalamavony</t>
  </si>
  <si>
    <t xml:space="preserve">037</t>
  </si>
  <si>
    <t xml:space="preserve">TG Toliara</t>
  </si>
  <si>
    <t xml:space="preserve">038</t>
  </si>
  <si>
    <t xml:space="preserve">PP Ampanihy</t>
  </si>
  <si>
    <t xml:space="preserve">039</t>
  </si>
  <si>
    <t xml:space="preserve">PP Ankazoabo</t>
  </si>
  <si>
    <t xml:space="preserve">040</t>
  </si>
  <si>
    <t xml:space="preserve">PP Benenitra</t>
  </si>
  <si>
    <t xml:space="preserve">041</t>
  </si>
  <si>
    <t xml:space="preserve">PP Beroroha</t>
  </si>
  <si>
    <t xml:space="preserve">042</t>
  </si>
  <si>
    <t xml:space="preserve">PP Betioky sud</t>
  </si>
  <si>
    <t xml:space="preserve">043</t>
  </si>
  <si>
    <t xml:space="preserve">PP Morombe</t>
  </si>
  <si>
    <t xml:space="preserve">044</t>
  </si>
  <si>
    <t xml:space="preserve">PP Sakaraha</t>
  </si>
  <si>
    <t xml:space="preserve">045</t>
  </si>
  <si>
    <t xml:space="preserve">TG Antsirabe</t>
  </si>
  <si>
    <t xml:space="preserve">046</t>
  </si>
  <si>
    <t xml:space="preserve">PP Antanifotsy</t>
  </si>
  <si>
    <t xml:space="preserve">047</t>
  </si>
  <si>
    <t xml:space="preserve">PP Betafo</t>
  </si>
  <si>
    <t xml:space="preserve">048</t>
  </si>
  <si>
    <t xml:space="preserve">PP Faratsiho</t>
  </si>
  <si>
    <t xml:space="preserve">049</t>
  </si>
  <si>
    <t xml:space="preserve">PP Ambatolampy</t>
  </si>
  <si>
    <t xml:space="preserve">050</t>
  </si>
  <si>
    <t xml:space="preserve">TG Miarinarivo</t>
  </si>
  <si>
    <t xml:space="preserve">051</t>
  </si>
  <si>
    <t xml:space="preserve">PP Arivonimamo</t>
  </si>
  <si>
    <t xml:space="preserve">052</t>
  </si>
  <si>
    <t xml:space="preserve">PP Soavinandriana</t>
  </si>
  <si>
    <t xml:space="preserve">053</t>
  </si>
  <si>
    <t xml:space="preserve">TG Manakara</t>
  </si>
  <si>
    <t xml:space="preserve">054</t>
  </si>
  <si>
    <t xml:space="preserve">PP Ikongo - fort Carnot</t>
  </si>
  <si>
    <t xml:space="preserve">055</t>
  </si>
  <si>
    <t xml:space="preserve">PP Vohipeno</t>
  </si>
  <si>
    <t xml:space="preserve">056</t>
  </si>
  <si>
    <t xml:space="preserve">TG Ambositra</t>
  </si>
  <si>
    <t xml:space="preserve">057</t>
  </si>
  <si>
    <t xml:space="preserve">PP Ambatofinandrahana</t>
  </si>
  <si>
    <t xml:space="preserve">058</t>
  </si>
  <si>
    <t xml:space="preserve">PP Fandriana</t>
  </si>
  <si>
    <t xml:space="preserve">059</t>
  </si>
  <si>
    <t xml:space="preserve">PP Manandriana</t>
  </si>
  <si>
    <t xml:space="preserve">060</t>
  </si>
  <si>
    <t xml:space="preserve">TG Ambatondrazaka</t>
  </si>
  <si>
    <t xml:space="preserve">061</t>
  </si>
  <si>
    <t xml:space="preserve">PP Amparafaravola</t>
  </si>
  <si>
    <t xml:space="preserve">062</t>
  </si>
  <si>
    <t xml:space="preserve">PP Andilamena</t>
  </si>
  <si>
    <t xml:space="preserve">063</t>
  </si>
  <si>
    <t xml:space="preserve">PP Anosibe An'Ala</t>
  </si>
  <si>
    <t xml:space="preserve">064</t>
  </si>
  <si>
    <t xml:space="preserve">PP Moramanga</t>
  </si>
  <si>
    <t xml:space="preserve">065</t>
  </si>
  <si>
    <t xml:space="preserve">TG Fenerive-Est</t>
  </si>
  <si>
    <t xml:space="preserve">066</t>
  </si>
  <si>
    <t xml:space="preserve">PP Mananara-Nord</t>
  </si>
  <si>
    <t xml:space="preserve">067</t>
  </si>
  <si>
    <t xml:space="preserve">PP Maroantsetra</t>
  </si>
  <si>
    <t xml:space="preserve">068</t>
  </si>
  <si>
    <t xml:space="preserve">PP Ste Marie</t>
  </si>
  <si>
    <t xml:space="preserve">069</t>
  </si>
  <si>
    <t xml:space="preserve">PP Soanierana Ivongo</t>
  </si>
  <si>
    <t xml:space="preserve">070</t>
  </si>
  <si>
    <t xml:space="preserve">PP Vavatenina</t>
  </si>
  <si>
    <t xml:space="preserve">071</t>
  </si>
  <si>
    <t xml:space="preserve">TG Tolagnaro</t>
  </si>
  <si>
    <t xml:space="preserve">072</t>
  </si>
  <si>
    <t xml:space="preserve">PP Amboasary Sud</t>
  </si>
  <si>
    <t xml:space="preserve">073</t>
  </si>
  <si>
    <t xml:space="preserve">PP Tsivory</t>
  </si>
  <si>
    <t xml:space="preserve">074</t>
  </si>
  <si>
    <t xml:space="preserve">PP Betroka</t>
  </si>
  <si>
    <t xml:space="preserve">075</t>
  </si>
  <si>
    <t xml:space="preserve">PP Manantenina</t>
  </si>
  <si>
    <t xml:space="preserve">076</t>
  </si>
  <si>
    <t xml:space="preserve">TG Morondava</t>
  </si>
  <si>
    <t xml:space="preserve">077</t>
  </si>
  <si>
    <t xml:space="preserve">PP Belo/Tsiribihina</t>
  </si>
  <si>
    <t xml:space="preserve">078</t>
  </si>
  <si>
    <t xml:space="preserve">PP Miandrivazo</t>
  </si>
  <si>
    <t xml:space="preserve">079</t>
  </si>
  <si>
    <t xml:space="preserve">PP Manja</t>
  </si>
  <si>
    <t xml:space="preserve">080</t>
  </si>
  <si>
    <t xml:space="preserve">PP Mahabo</t>
  </si>
  <si>
    <t xml:space="preserve">081</t>
  </si>
  <si>
    <t xml:space="preserve">TG Antsohihy</t>
  </si>
  <si>
    <t xml:space="preserve">082</t>
  </si>
  <si>
    <t xml:space="preserve">PP Analalava</t>
  </si>
  <si>
    <t xml:space="preserve">083</t>
  </si>
  <si>
    <t xml:space="preserve">PP Bealanana</t>
  </si>
  <si>
    <t xml:space="preserve">084</t>
  </si>
  <si>
    <t xml:space="preserve">PP Befandriana Nord</t>
  </si>
  <si>
    <t xml:space="preserve">085</t>
  </si>
  <si>
    <t xml:space="preserve">PP Mampikony</t>
  </si>
  <si>
    <t xml:space="preserve">086</t>
  </si>
  <si>
    <t xml:space="preserve">PP Mandritsara</t>
  </si>
  <si>
    <t xml:space="preserve">087</t>
  </si>
  <si>
    <t xml:space="preserve">PP Port Bergé</t>
  </si>
  <si>
    <t xml:space="preserve">088</t>
  </si>
  <si>
    <t xml:space="preserve">TG Maintirano</t>
  </si>
  <si>
    <t xml:space="preserve">089</t>
  </si>
  <si>
    <t xml:space="preserve">PP Ambatomainty 404</t>
  </si>
  <si>
    <t xml:space="preserve">090</t>
  </si>
  <si>
    <t xml:space="preserve">PP Antsalova</t>
  </si>
  <si>
    <t xml:space="preserve">091</t>
  </si>
  <si>
    <t xml:space="preserve">PP Besalampy</t>
  </si>
  <si>
    <t xml:space="preserve">092</t>
  </si>
  <si>
    <t xml:space="preserve">PP Morafenobe</t>
  </si>
  <si>
    <t xml:space="preserve">093</t>
  </si>
  <si>
    <t xml:space="preserve">TG Sambava</t>
  </si>
  <si>
    <t xml:space="preserve">094</t>
  </si>
  <si>
    <t xml:space="preserve">PP Andapa</t>
  </si>
  <si>
    <t xml:space="preserve">095</t>
  </si>
  <si>
    <t xml:space="preserve">PP Vohemar</t>
  </si>
  <si>
    <t xml:space="preserve">096</t>
  </si>
  <si>
    <t xml:space="preserve">TG Maevatanana</t>
  </si>
  <si>
    <t xml:space="preserve">097</t>
  </si>
  <si>
    <t xml:space="preserve">PP Kandreho</t>
  </si>
  <si>
    <t xml:space="preserve">098</t>
  </si>
  <si>
    <t xml:space="preserve">PP Tsaratanana</t>
  </si>
  <si>
    <t xml:space="preserve">099</t>
  </si>
  <si>
    <t xml:space="preserve">TG Tsiroanomandidy</t>
  </si>
  <si>
    <t xml:space="preserve">100</t>
  </si>
  <si>
    <t xml:space="preserve">PP Fenoarivobe</t>
  </si>
  <si>
    <t xml:space="preserve">101</t>
  </si>
  <si>
    <t xml:space="preserve">TG Ihosy</t>
  </si>
  <si>
    <t xml:space="preserve">102</t>
  </si>
  <si>
    <t xml:space="preserve">PP Iakora</t>
  </si>
  <si>
    <t xml:space="preserve">103</t>
  </si>
  <si>
    <t xml:space="preserve">PP Ivohibe</t>
  </si>
  <si>
    <t xml:space="preserve">104</t>
  </si>
  <si>
    <t xml:space="preserve">TG Farafangana</t>
  </si>
  <si>
    <t xml:space="preserve">105</t>
  </si>
  <si>
    <t xml:space="preserve">PP Befotaka Sud</t>
  </si>
  <si>
    <t xml:space="preserve">106</t>
  </si>
  <si>
    <t xml:space="preserve">PP Midongy Sud</t>
  </si>
  <si>
    <t xml:space="preserve">107</t>
  </si>
  <si>
    <t xml:space="preserve">PP Vangaindrano</t>
  </si>
  <si>
    <t xml:space="preserve">108</t>
  </si>
  <si>
    <t xml:space="preserve">PP Vondrozo</t>
  </si>
  <si>
    <t xml:space="preserve">109</t>
  </si>
  <si>
    <t xml:space="preserve">TG Ambovombe-Androy</t>
  </si>
  <si>
    <t xml:space="preserve">110</t>
  </si>
  <si>
    <t xml:space="preserve">PP Bekily</t>
  </si>
  <si>
    <t xml:space="preserve">111</t>
  </si>
  <si>
    <t xml:space="preserve">PP Beloha</t>
  </si>
  <si>
    <t xml:space="preserve">112</t>
  </si>
  <si>
    <t xml:space="preserve">PP Tsihombe</t>
  </si>
  <si>
    <t xml:space="preserve">113</t>
  </si>
  <si>
    <t xml:space="preserve">ACCPDC</t>
  </si>
  <si>
    <t xml:space="preserve">114</t>
  </si>
  <si>
    <t xml:space="preserve">TMA</t>
  </si>
  <si>
    <t xml:space="preserve">115</t>
  </si>
  <si>
    <t xml:space="preserve">TP Nosy Be</t>
  </si>
  <si>
    <t xml:space="preserve">116</t>
  </si>
  <si>
    <t xml:space="preserve">PP Ambanja</t>
  </si>
  <si>
    <t xml:space="preserve">117</t>
  </si>
  <si>
    <t xml:space="preserve">TP Antalaha</t>
  </si>
  <si>
    <t xml:space="preserve">118</t>
  </si>
  <si>
    <t xml:space="preserve">TP Mananjary</t>
  </si>
  <si>
    <t xml:space="preserve">119</t>
  </si>
  <si>
    <t xml:space="preserve">PP Ifanadiana</t>
  </si>
  <si>
    <t xml:space="preserve">120</t>
  </si>
  <si>
    <t xml:space="preserve">PP Nosy Varika</t>
  </si>
  <si>
    <t xml:space="preserve">121</t>
  </si>
  <si>
    <t xml:space="preserve">TMEN</t>
  </si>
  <si>
    <t xml:space="preserve">122</t>
  </si>
  <si>
    <t xml:space="preserve">TMinSan</t>
  </si>
  <si>
    <t xml:space="preserve">123</t>
  </si>
  <si>
    <t xml:space="preserve">TMInAgri</t>
  </si>
  <si>
    <t xml:space="preserve">124</t>
  </si>
  <si>
    <t xml:space="preserve">TPIC Bongatsara</t>
  </si>
  <si>
    <t xml:space="preserve">125</t>
  </si>
  <si>
    <t xml:space="preserve">ACAFCV</t>
  </si>
  <si>
    <t xml:space="preserve">126</t>
  </si>
  <si>
    <t xml:space="preserve">TPIC Ivato</t>
  </si>
  <si>
    <t xml:space="preserve">127</t>
  </si>
  <si>
    <t xml:space="preserve">TMinFoP</t>
  </si>
  <si>
    <t xml:space="preserve">128</t>
  </si>
  <si>
    <t xml:space="preserve">TPIC Moramanga</t>
  </si>
  <si>
    <t xml:space="preserve">COMPTE</t>
  </si>
  <si>
    <t xml:space="preserve">6231 Frais de déplacement intérieur</t>
  </si>
  <si>
    <t xml:space="preserve">6241 Indemnités de mission intérieure</t>
  </si>
  <si>
    <t xml:space="preserve">ACTIVITES</t>
  </si>
  <si>
    <t xml:space="preserve">ASSURER LES GARDES PERMANENTES DES POSTES COMPTABLES</t>
  </si>
  <si>
    <t xml:space="preserve">117-1-1-1-01</t>
  </si>
  <si>
    <t xml:space="preserve">ASSURER LES APPROVISIONNEMENTS EN FONDS DU RÉSEAU COMPTABLE</t>
  </si>
  <si>
    <t xml:space="preserve">117-1-1-1-02</t>
  </si>
  <si>
    <t xml:space="preserve">NATURE DE LA DEPENSE</t>
  </si>
  <si>
    <t xml:space="preserve">INDEMNITE DE GARDE PERMANENTE</t>
  </si>
  <si>
    <t xml:space="preserve">ANNEXE 2</t>
  </si>
  <si>
    <t xml:space="preserve">INDEMNITE D'APPROVISIONNEMENT DE FONDS</t>
  </si>
  <si>
    <t xml:space="preserve">ANNEXE 3</t>
  </si>
  <si>
    <t xml:space="preserve">FRAIS DE DEPLACEMENT INTERIEUR</t>
  </si>
  <si>
    <t xml:space="preserve">ANNEXE 1</t>
  </si>
  <si>
    <t xml:space="preserve">PIECES JUSTIFICATIVES</t>
  </si>
  <si>
    <t xml:space="preserve">Ordre de Paiement</t>
  </si>
  <si>
    <t xml:space="preserve">Ordre de Route</t>
  </si>
  <si>
    <t xml:space="preserve">Ordre de Mission</t>
  </si>
  <si>
    <t xml:space="preserve">Etat de Décompte d'Indemnité de Garde Permanente</t>
  </si>
  <si>
    <t xml:space="preserve">Billet</t>
  </si>
  <si>
    <t xml:space="preserve">Ticket</t>
  </si>
  <si>
    <t xml:space="preserve">Reçu</t>
  </si>
  <si>
    <t xml:space="preserve">(Veuillez compléter les cellules blanches)</t>
  </si>
  <si>
    <t xml:space="preserve">(Veuillez choisir parmi les modalités proposées dans la liste déroulante)</t>
  </si>
  <si>
    <t xml:space="preserve">CODE POSTE COMPTABLE</t>
  </si>
  <si>
    <t xml:space="preserve">POSTE COMPTABLE</t>
  </si>
  <si>
    <t xml:space="preserve">NUMERO OP</t>
  </si>
  <si>
    <t xml:space="preserve">INTITULE ACTIVITE</t>
  </si>
  <si>
    <t xml:space="preserve">CODE ACTIVITE</t>
  </si>
  <si>
    <t xml:space="preserve">Mai à Août 2026</t>
  </si>
  <si>
    <t xml:space="preserve">MONTANT à PAYER (en Ariary)</t>
  </si>
  <si>
    <t xml:space="preserve">EN LETTRE</t>
  </si>
  <si>
    <t xml:space="preserve">TITULAIRE</t>
  </si>
  <si>
    <t xml:space="preserve">NOM ET PRENOMS</t>
  </si>
  <si>
    <t xml:space="preserve">ANDRIAMIALISON Johany Michael</t>
  </si>
  <si>
    <t xml:space="preserve">IM</t>
  </si>
  <si>
    <t xml:space="preserve">(Si Gendarme, veuillez écrire sous la forme "Gxxxxx". Exemple : G12345)</t>
  </si>
  <si>
    <t xml:space="preserve">CIN</t>
  </si>
  <si>
    <t xml:space="preserve">ADRESSE</t>
  </si>
  <si>
    <t xml:space="preserve">CSP MAROVOAY</t>
  </si>
  <si>
    <t xml:space="preserve">LIEU D'EDITION DE L'OP</t>
  </si>
  <si>
    <t xml:space="preserve">Marovoay</t>
  </si>
  <si>
    <t xml:space="preserve">ANNEE D'EDITION DE L'OP</t>
  </si>
  <si>
    <t xml:space="preserve">DATE D'EDITION DE L'OP</t>
  </si>
  <si>
    <t xml:space="preserve">01/10/2026</t>
  </si>
  <si>
    <t xml:space="preserve">OBJET DE LA DEPENSE</t>
  </si>
  <si>
    <t xml:space="preserve">MINISTERE</t>
  </si>
  <si>
    <t xml:space="preserve">21 MEF</t>
  </si>
  <si>
    <t xml:space="preserve">REPUBLIQUE DE MADAGASCAR</t>
  </si>
  <si>
    <t xml:space="preserve">N° BE </t>
  </si>
  <si>
    <t xml:space="preserve">ORDONNATEUR</t>
  </si>
  <si>
    <t xml:space="preserve">00-22Y-8-00000</t>
  </si>
  <si>
    <t xml:space="preserve">MISSION :</t>
  </si>
  <si>
    <t xml:space="preserve">EXERCICE :</t>
  </si>
  <si>
    <t xml:space="preserve">COMMUNE BENEFICIAIRE</t>
  </si>
  <si>
    <t xml:space="preserve">00000</t>
  </si>
  <si>
    <t xml:space="preserve">BUDGET :</t>
  </si>
  <si>
    <t xml:space="preserve">00</t>
  </si>
  <si>
    <t xml:space="preserve">CATEGORIE :</t>
  </si>
  <si>
    <t xml:space="preserve">ORDRE DE PAIEMENT</t>
  </si>
  <si>
    <t xml:space="preserve">CODE CF</t>
  </si>
  <si>
    <t xml:space="preserve">10101.220</t>
  </si>
  <si>
    <t xml:space="preserve">N° OP :  </t>
  </si>
  <si>
    <t xml:space="preserve">TP ASSIGNATAIRE</t>
  </si>
  <si>
    <t xml:space="preserve">10101.100</t>
  </si>
  <si>
    <t xml:space="preserve">En vertu des crédits sur le paragraphe ci-dessous,
 l’ordonnateur soussigné mandate les créances ci-après</t>
  </si>
  <si>
    <t xml:space="preserve">PROGRAMME</t>
  </si>
  <si>
    <r>
      <rPr>
        <b val="true"/>
        <sz val="11"/>
        <color rgb="FF000000"/>
        <rFont val="Arial"/>
        <family val="2"/>
      </rPr>
      <t xml:space="preserve">SECT-CONV :      </t>
    </r>
    <r>
      <rPr>
        <sz val="11"/>
        <color rgb="FF000000"/>
        <rFont val="Arial"/>
        <family val="2"/>
      </rPr>
      <t xml:space="preserve">000
RESSOURCES PROPRES</t>
    </r>
  </si>
  <si>
    <t xml:space="preserve">ACTIVITE PROJET</t>
  </si>
  <si>
    <t xml:space="preserve">IMPUTATION ADMINISTRATIVE - CDD</t>
  </si>
  <si>
    <t xml:space="preserve">00-21-T-223-00000</t>
  </si>
  <si>
    <t xml:space="preserve">FINANCEMENT :</t>
  </si>
  <si>
    <t xml:space="preserve">10-001-001-A</t>
  </si>
  <si>
    <t xml:space="preserve">LIQUIDATION DE LA DEPENSE</t>
  </si>
  <si>
    <t xml:space="preserve">REGLEMENT DE LA CREANCE</t>
  </si>
  <si>
    <t xml:space="preserve">  Pièces justificatives :</t>
  </si>
  <si>
    <t xml:space="preserve">(Modalités de REGLEMENT)</t>
  </si>
  <si>
    <t xml:space="preserve">       BON DE CAISSE</t>
  </si>
  <si>
    <t xml:space="preserve">       VIREMENT BANCAIRE</t>
  </si>
  <si>
    <t xml:space="preserve">       AUTRE VIREMENT</t>
  </si>
  <si>
    <t xml:space="preserve">       OPERATION D'ORDRE</t>
  </si>
  <si>
    <t xml:space="preserve">MONTANT LIQUIDE HT</t>
  </si>
  <si>
    <t xml:space="preserve">Descriptif de l’opération d’ordre</t>
  </si>
  <si>
    <t xml:space="preserve">Cadre réservé au comptable</t>
  </si>
  <si>
    <t xml:space="preserve">TAXES (TTL, DTI)</t>
  </si>
  <si>
    <t xml:space="preserve">COMPTE A CREDITER</t>
  </si>
  <si>
    <t xml:space="preserve">MONTANT LIQUIDE</t>
  </si>
  <si>
    <t xml:space="preserve">DEPENSES EN DEVISES</t>
  </si>
  <si>
    <t xml:space="preserve">EN REGLEMENT</t>
  </si>
  <si>
    <t xml:space="preserve">MONTANT CONTRACTUEL</t>
  </si>
  <si>
    <t xml:space="preserve">       Ordre de recette (OR)</t>
  </si>
  <si>
    <t xml:space="preserve">       Préc.</t>
  </si>
  <si>
    <t xml:space="preserve">DEVISE</t>
  </si>
  <si>
    <t xml:space="preserve">       Dépenses à régul. (DAR)</t>
  </si>
  <si>
    <t xml:space="preserve">       AUTRE</t>
  </si>
  <si>
    <t xml:space="preserve">COURS</t>
  </si>
  <si>
    <t xml:space="preserve">Préciser</t>
  </si>
  <si>
    <t xml:space="preserve">PERIODE LIQUIDEE</t>
  </si>
  <si>
    <t xml:space="preserve">DATE DEBUT</t>
  </si>
  <si>
    <t xml:space="preserve">DATE FACTURATION</t>
  </si>
  <si>
    <t xml:space="preserve">DATE FIN</t>
  </si>
  <si>
    <t xml:space="preserve">  VISA DU COMPTABLE</t>
  </si>
  <si>
    <t xml:space="preserve">DISPONIBILITE SUR ENGAGEMENT : DEV / AR</t>
  </si>
  <si>
    <t xml:space="preserve">ENGAGEMENT INITIAL</t>
  </si>
  <si>
    <t xml:space="preserve">CUMUL MANDATE</t>
  </si>
  <si>
    <t xml:space="preserve">MONTANT MANDATE</t>
  </si>
  <si>
    <t xml:space="preserve">Numéro d'identification du TITULAIRE :</t>
  </si>
  <si>
    <t xml:space="preserve">Disponible sur ENGAGEMENT</t>
  </si>
  <si>
    <t xml:space="preserve">Objet de la dépense :</t>
  </si>
  <si>
    <t xml:space="preserve">TITULAIRE   :</t>
  </si>
  <si>
    <t xml:space="preserve">CIN                :</t>
  </si>
  <si>
    <t xml:space="preserve">MONTANT MANDATE (A)</t>
  </si>
  <si>
    <t xml:space="preserve">ADRESSE     :</t>
  </si>
  <si>
    <t xml:space="preserve">A PRECOMPTER</t>
  </si>
  <si>
    <t xml:space="preserve">NET A PAYER</t>
  </si>
  <si>
    <t xml:space="preserve">ARRETE par nous le présent ordre de paiement à la somme de (A) :</t>
  </si>
  <si>
    <t xml:space="preserve">Pour acquit de la somme indiquée ci-contre (A)
                  A.........................................................................
                 Le........................................................................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</si>
</sst>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_-* #,##0.00\ _€_-;\-* #,##0.00\ _€_-;_-* \-??\ _€_-;_-@_-"/>
    <numFmt numFmtId="167" formatCode="General"/>
    <numFmt numFmtId="168" formatCode="#,##0_ ;\-#,##0\ "/>
    <numFmt numFmtId="169" formatCode="#,##0"/>
    <numFmt numFmtId="170" formatCode="_-* #,##0\ _€_-;\-* #,##0\ _€_-;_-* \-??\ _€_-;_-@_-"/>
  </numFmts>
  <fonts count="1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Arial"/>
      <family val="2"/>
    </font>
    <font>
      <b val="true"/>
      <sz val="11"/>
      <color rgb="FF000000"/>
      <name val="Calibri"/>
      <family val="2"/>
    </font>
    <font>
      <b val="true"/>
      <i val="true"/>
      <sz val="11"/>
      <color rgb="FF000000"/>
      <name val="Calibri"/>
      <family val="2"/>
    </font>
    <font>
      <i val="true"/>
      <sz val="11"/>
      <color rgb="FF000000"/>
      <name val="Calibri"/>
      <family val="2"/>
    </font>
    <font>
      <b val="true"/>
      <sz val="11"/>
      <color rgb="FF000000"/>
      <name val="Arial"/>
      <family val="2"/>
    </font>
    <font>
      <b val="true"/>
      <sz val="14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99FF"/>
        <bgColor rgb="FF9999FF"/>
      </patternFill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/>
      <bottom/>
      <diagonal/>
    </border>
    <border diagonalUp="false" diagonalDown="false"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 diagonalUp="false" diagonalDown="false">
      <left/>
      <right/>
      <top/>
      <bottom style="thin">
        <color rgb="FF3D3D3D"/>
      </bottom>
      <diagonal/>
    </border>
    <border diagonalUp="false" diagonalDown="false">
      <left style="thin">
        <color rgb="FF3D3D3D"/>
      </left>
      <right/>
      <top style="thin">
        <color rgb="FF3D3D3D"/>
      </top>
      <bottom style="thin">
        <color rgb="FF3D3D3D"/>
      </bottom>
      <diagonal/>
    </border>
    <border diagonalUp="false" diagonalDown="false">
      <left/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/>
      <right/>
      <top style="thin">
        <color rgb="FF3D3D3D"/>
      </top>
      <bottom style="thin">
        <color rgb="FF3D3D3D"/>
      </bottom>
      <diagonal/>
    </border>
    <border diagonalUp="false" diagonalDown="false">
      <left style="thin">
        <color rgb="FF3D3D3D"/>
      </left>
      <right/>
      <top style="thin">
        <color rgb="FF3D3D3D"/>
      </top>
      <bottom/>
      <diagonal/>
    </border>
    <border diagonalUp="false" diagonalDown="false">
      <left style="thin">
        <color rgb="FF3D3D3D"/>
      </left>
      <right/>
      <top/>
      <bottom/>
      <diagonal/>
    </border>
    <border diagonalUp="false" diagonalDown="false">
      <left style="thin">
        <color rgb="FF3D3D3D"/>
      </left>
      <right/>
      <top/>
      <bottom style="thin">
        <color rgb="FF3D3D3D"/>
      </bottom>
      <diagonal/>
    </border>
    <border diagonalUp="false" diagonalDown="false">
      <left/>
      <right style="thin">
        <color rgb="FF3D3D3D"/>
      </right>
      <top style="thin">
        <color rgb="FF3D3D3D"/>
      </top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/>
      <diagonal/>
    </border>
    <border diagonalUp="false" diagonalDown="false">
      <left/>
      <right style="thin">
        <color rgb="FF3D3D3D"/>
      </right>
      <top/>
      <bottom/>
      <diagonal/>
    </border>
    <border diagonalUp="false" diagonalDown="false">
      <left/>
      <right style="thin">
        <color rgb="FF3D3D3D"/>
      </right>
      <top/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1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1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0" fillId="3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5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5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5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6" fillId="5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6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5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6" fillId="5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family val="2"/>
        <color rgb="FF000000"/>
        <sz val="11"/>
      </font>
      <fill>
        <patternFill>
          <bgColor rgb="FF99CC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59040</xdr:colOff>
      <xdr:row>15</xdr:row>
      <xdr:rowOff>58320</xdr:rowOff>
    </xdr:from>
    <xdr:to>
      <xdr:col>5</xdr:col>
      <xdr:colOff>248400</xdr:colOff>
      <xdr:row>15</xdr:row>
      <xdr:rowOff>199800</xdr:rowOff>
    </xdr:to>
    <xdr:sp>
      <xdr:nvSpPr>
        <xdr:cNvPr id="0" name="Rectangle 1"/>
        <xdr:cNvSpPr/>
      </xdr:nvSpPr>
      <xdr:spPr>
        <a:xfrm>
          <a:off x="6603840" y="3873240"/>
          <a:ext cx="189360" cy="141480"/>
        </a:xfrm>
        <a:prstGeom prst="rect">
          <a:avLst/>
        </a:prstGeom>
        <a:solidFill>
          <a:srgbClr val="bfbfb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59040</xdr:colOff>
      <xdr:row>16</xdr:row>
      <xdr:rowOff>57960</xdr:rowOff>
    </xdr:from>
    <xdr:to>
      <xdr:col>5</xdr:col>
      <xdr:colOff>248400</xdr:colOff>
      <xdr:row>16</xdr:row>
      <xdr:rowOff>199440</xdr:rowOff>
    </xdr:to>
    <xdr:sp>
      <xdr:nvSpPr>
        <xdr:cNvPr id="1" name="Rectangle 6"/>
        <xdr:cNvSpPr/>
      </xdr:nvSpPr>
      <xdr:spPr>
        <a:xfrm>
          <a:off x="6603840" y="4139280"/>
          <a:ext cx="189360" cy="141480"/>
        </a:xfrm>
        <a:prstGeom prst="rect">
          <a:avLst/>
        </a:prstGeom>
        <a:solidFill>
          <a:srgbClr val="bfbfb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59400</xdr:colOff>
      <xdr:row>16</xdr:row>
      <xdr:rowOff>57960</xdr:rowOff>
    </xdr:from>
    <xdr:to>
      <xdr:col>8</xdr:col>
      <xdr:colOff>247680</xdr:colOff>
      <xdr:row>16</xdr:row>
      <xdr:rowOff>199440</xdr:rowOff>
    </xdr:to>
    <xdr:sp>
      <xdr:nvSpPr>
        <xdr:cNvPr id="2" name="Rectangle 7"/>
        <xdr:cNvSpPr/>
      </xdr:nvSpPr>
      <xdr:spPr>
        <a:xfrm>
          <a:off x="9831960" y="4139280"/>
          <a:ext cx="188280" cy="141480"/>
        </a:xfrm>
        <a:prstGeom prst="rect">
          <a:avLst/>
        </a:prstGeom>
        <a:solidFill>
          <a:srgbClr val="bfbfb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59040</xdr:colOff>
      <xdr:row>22</xdr:row>
      <xdr:rowOff>66600</xdr:rowOff>
    </xdr:from>
    <xdr:to>
      <xdr:col>5</xdr:col>
      <xdr:colOff>248400</xdr:colOff>
      <xdr:row>22</xdr:row>
      <xdr:rowOff>208080</xdr:rowOff>
    </xdr:to>
    <xdr:sp>
      <xdr:nvSpPr>
        <xdr:cNvPr id="3" name="Rectangle 8"/>
        <xdr:cNvSpPr/>
      </xdr:nvSpPr>
      <xdr:spPr>
        <a:xfrm>
          <a:off x="6603840" y="5536440"/>
          <a:ext cx="189360" cy="14148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78840</xdr:colOff>
      <xdr:row>22</xdr:row>
      <xdr:rowOff>58320</xdr:rowOff>
    </xdr:from>
    <xdr:to>
      <xdr:col>8</xdr:col>
      <xdr:colOff>266760</xdr:colOff>
      <xdr:row>22</xdr:row>
      <xdr:rowOff>199440</xdr:rowOff>
    </xdr:to>
    <xdr:sp>
      <xdr:nvSpPr>
        <xdr:cNvPr id="4" name="Rectangle 9"/>
        <xdr:cNvSpPr/>
      </xdr:nvSpPr>
      <xdr:spPr>
        <a:xfrm>
          <a:off x="9851400" y="5528160"/>
          <a:ext cx="187920" cy="14112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59040</xdr:colOff>
      <xdr:row>23</xdr:row>
      <xdr:rowOff>58320</xdr:rowOff>
    </xdr:from>
    <xdr:to>
      <xdr:col>5</xdr:col>
      <xdr:colOff>248400</xdr:colOff>
      <xdr:row>23</xdr:row>
      <xdr:rowOff>208080</xdr:rowOff>
    </xdr:to>
    <xdr:sp>
      <xdr:nvSpPr>
        <xdr:cNvPr id="5" name="Rectangle 10"/>
        <xdr:cNvSpPr/>
      </xdr:nvSpPr>
      <xdr:spPr>
        <a:xfrm>
          <a:off x="6603840" y="5794200"/>
          <a:ext cx="189360" cy="14976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69480</xdr:colOff>
      <xdr:row>15</xdr:row>
      <xdr:rowOff>66600</xdr:rowOff>
    </xdr:from>
    <xdr:to>
      <xdr:col>8</xdr:col>
      <xdr:colOff>257400</xdr:colOff>
      <xdr:row>15</xdr:row>
      <xdr:rowOff>208080</xdr:rowOff>
    </xdr:to>
    <xdr:sp>
      <xdr:nvSpPr>
        <xdr:cNvPr id="6" name="Rectangle 16"/>
        <xdr:cNvSpPr/>
      </xdr:nvSpPr>
      <xdr:spPr>
        <a:xfrm>
          <a:off x="9842040" y="3881520"/>
          <a:ext cx="187920" cy="141480"/>
        </a:xfrm>
        <a:prstGeom prst="rect">
          <a:avLst/>
        </a:prstGeom>
        <a:solidFill>
          <a:srgbClr val="bfbfb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88560</xdr:colOff>
      <xdr:row>23</xdr:row>
      <xdr:rowOff>50040</xdr:rowOff>
    </xdr:from>
    <xdr:to>
      <xdr:col>8</xdr:col>
      <xdr:colOff>266760</xdr:colOff>
      <xdr:row>23</xdr:row>
      <xdr:rowOff>199800</xdr:rowOff>
    </xdr:to>
    <xdr:sp>
      <xdr:nvSpPr>
        <xdr:cNvPr id="7" name="Rectangle 17"/>
        <xdr:cNvSpPr/>
      </xdr:nvSpPr>
      <xdr:spPr>
        <a:xfrm>
          <a:off x="9861120" y="5785920"/>
          <a:ext cx="178200" cy="14976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59040</xdr:colOff>
      <xdr:row>15</xdr:row>
      <xdr:rowOff>58320</xdr:rowOff>
    </xdr:from>
    <xdr:to>
      <xdr:col>5</xdr:col>
      <xdr:colOff>248400</xdr:colOff>
      <xdr:row>15</xdr:row>
      <xdr:rowOff>199800</xdr:rowOff>
    </xdr:to>
    <xdr:sp>
      <xdr:nvSpPr>
        <xdr:cNvPr id="8" name="Rectangle 11"/>
        <xdr:cNvSpPr/>
      </xdr:nvSpPr>
      <xdr:spPr>
        <a:xfrm>
          <a:off x="6603840" y="3873240"/>
          <a:ext cx="189360" cy="14148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59040</xdr:colOff>
      <xdr:row>16</xdr:row>
      <xdr:rowOff>57960</xdr:rowOff>
    </xdr:from>
    <xdr:to>
      <xdr:col>5</xdr:col>
      <xdr:colOff>248400</xdr:colOff>
      <xdr:row>16</xdr:row>
      <xdr:rowOff>199440</xdr:rowOff>
    </xdr:to>
    <xdr:sp>
      <xdr:nvSpPr>
        <xdr:cNvPr id="9" name="Rectangle 12"/>
        <xdr:cNvSpPr/>
      </xdr:nvSpPr>
      <xdr:spPr>
        <a:xfrm>
          <a:off x="6603840" y="4139280"/>
          <a:ext cx="189360" cy="14148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59400</xdr:colOff>
      <xdr:row>16</xdr:row>
      <xdr:rowOff>57960</xdr:rowOff>
    </xdr:from>
    <xdr:to>
      <xdr:col>8</xdr:col>
      <xdr:colOff>247680</xdr:colOff>
      <xdr:row>16</xdr:row>
      <xdr:rowOff>199440</xdr:rowOff>
    </xdr:to>
    <xdr:sp>
      <xdr:nvSpPr>
        <xdr:cNvPr id="10" name="Rectangle 13"/>
        <xdr:cNvSpPr/>
      </xdr:nvSpPr>
      <xdr:spPr>
        <a:xfrm>
          <a:off x="9831960" y="4139280"/>
          <a:ext cx="188280" cy="14148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69480</xdr:colOff>
      <xdr:row>15</xdr:row>
      <xdr:rowOff>66600</xdr:rowOff>
    </xdr:from>
    <xdr:to>
      <xdr:col>8</xdr:col>
      <xdr:colOff>257400</xdr:colOff>
      <xdr:row>15</xdr:row>
      <xdr:rowOff>208080</xdr:rowOff>
    </xdr:to>
    <xdr:sp>
      <xdr:nvSpPr>
        <xdr:cNvPr id="11" name="Rectangle 18"/>
        <xdr:cNvSpPr/>
      </xdr:nvSpPr>
      <xdr:spPr>
        <a:xfrm>
          <a:off x="9842040" y="3881520"/>
          <a:ext cx="187920" cy="141480"/>
        </a:xfrm>
        <a:prstGeom prst="rect">
          <a:avLst/>
        </a:prstGeom>
        <a:solidFill>
          <a:srgbClr val="ffffff"/>
        </a:solidFill>
        <a:ln w="9360">
          <a:solidFill>
            <a:srgbClr val="3d3d3d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9"/>
  <sheetViews>
    <sheetView showFormulas="false" showGridLines="true" showRowColHeaders="true" showZeros="true" rightToLeft="false" tabSelected="false" showOutlineSymbols="true" defaultGridColor="true" view="normal" topLeftCell="A117" colorId="64" zoomScale="90" zoomScaleNormal="90" zoomScalePageLayoutView="100" workbookViewId="0">
      <selection pane="topLeft" activeCell="A1" activeCellId="0" sqref="A1"/>
    </sheetView>
  </sheetViews>
  <sheetFormatPr defaultColWidth="11.4375" defaultRowHeight="15.05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0" width="25.09"/>
    <col collapsed="false" customWidth="true" hidden="false" outlineLevel="0" max="3" min="3" style="0" width="5.99"/>
  </cols>
  <sheetData>
    <row r="1" customFormat="false" ht="20.15" hidden="false" customHeight="true" outlineLevel="0" collapsed="false">
      <c r="A1" s="1" t="s">
        <v>0</v>
      </c>
      <c r="B1" s="2" t="s">
        <v>1</v>
      </c>
      <c r="C1" s="1" t="s">
        <v>0</v>
      </c>
    </row>
    <row r="2" customFormat="false" ht="20.15" hidden="false" customHeight="true" outlineLevel="0" collapsed="false">
      <c r="A2" s="3" t="s">
        <v>2</v>
      </c>
      <c r="B2" s="4" t="s">
        <v>3</v>
      </c>
      <c r="C2" s="3" t="s">
        <v>2</v>
      </c>
    </row>
    <row r="3" customFormat="false" ht="20.15" hidden="false" customHeight="true" outlineLevel="0" collapsed="false">
      <c r="A3" s="5" t="s">
        <v>4</v>
      </c>
      <c r="B3" s="6" t="s">
        <v>5</v>
      </c>
      <c r="C3" s="5" t="s">
        <v>4</v>
      </c>
    </row>
    <row r="4" customFormat="false" ht="20.15" hidden="false" customHeight="true" outlineLevel="0" collapsed="false">
      <c r="A4" s="3" t="s">
        <v>6</v>
      </c>
      <c r="B4" s="4" t="s">
        <v>7</v>
      </c>
      <c r="C4" s="3" t="s">
        <v>6</v>
      </c>
    </row>
    <row r="5" customFormat="false" ht="20.15" hidden="false" customHeight="true" outlineLevel="0" collapsed="false">
      <c r="A5" s="3" t="s">
        <v>8</v>
      </c>
      <c r="B5" s="4" t="s">
        <v>9</v>
      </c>
      <c r="C5" s="3" t="s">
        <v>8</v>
      </c>
    </row>
    <row r="6" customFormat="false" ht="20.15" hidden="false" customHeight="true" outlineLevel="0" collapsed="false">
      <c r="A6" s="3" t="s">
        <v>10</v>
      </c>
      <c r="B6" s="4" t="s">
        <v>11</v>
      </c>
      <c r="C6" s="3" t="s">
        <v>10</v>
      </c>
    </row>
    <row r="7" customFormat="false" ht="20.15" hidden="false" customHeight="true" outlineLevel="0" collapsed="false">
      <c r="A7" s="3" t="s">
        <v>12</v>
      </c>
      <c r="B7" s="4" t="s">
        <v>13</v>
      </c>
      <c r="C7" s="3" t="s">
        <v>12</v>
      </c>
    </row>
    <row r="8" customFormat="false" ht="20.15" hidden="false" customHeight="true" outlineLevel="0" collapsed="false">
      <c r="A8" s="3" t="s">
        <v>14</v>
      </c>
      <c r="B8" s="4" t="s">
        <v>15</v>
      </c>
      <c r="C8" s="3" t="s">
        <v>14</v>
      </c>
    </row>
    <row r="9" customFormat="false" ht="20.15" hidden="false" customHeight="true" outlineLevel="0" collapsed="false">
      <c r="A9" s="3" t="s">
        <v>16</v>
      </c>
      <c r="B9" s="4" t="s">
        <v>17</v>
      </c>
      <c r="C9" s="3" t="s">
        <v>16</v>
      </c>
    </row>
    <row r="10" customFormat="false" ht="20.15" hidden="false" customHeight="true" outlineLevel="0" collapsed="false">
      <c r="A10" s="3" t="s">
        <v>18</v>
      </c>
      <c r="B10" s="4" t="s">
        <v>19</v>
      </c>
      <c r="C10" s="3" t="s">
        <v>18</v>
      </c>
    </row>
    <row r="11" customFormat="false" ht="20.15" hidden="false" customHeight="true" outlineLevel="0" collapsed="false">
      <c r="A11" s="3" t="s">
        <v>20</v>
      </c>
      <c r="B11" s="4" t="s">
        <v>21</v>
      </c>
      <c r="C11" s="3" t="s">
        <v>20</v>
      </c>
    </row>
    <row r="12" customFormat="false" ht="20.15" hidden="false" customHeight="true" outlineLevel="0" collapsed="false">
      <c r="A12" s="3" t="s">
        <v>22</v>
      </c>
      <c r="B12" s="4" t="s">
        <v>23</v>
      </c>
      <c r="C12" s="3" t="s">
        <v>22</v>
      </c>
    </row>
    <row r="13" customFormat="false" ht="20.15" hidden="false" customHeight="true" outlineLevel="0" collapsed="false">
      <c r="A13" s="5" t="s">
        <v>24</v>
      </c>
      <c r="B13" s="6" t="s">
        <v>25</v>
      </c>
      <c r="C13" s="5" t="s">
        <v>24</v>
      </c>
    </row>
    <row r="14" customFormat="false" ht="20.15" hidden="false" customHeight="true" outlineLevel="0" collapsed="false">
      <c r="A14" s="3" t="s">
        <v>26</v>
      </c>
      <c r="B14" s="4" t="s">
        <v>27</v>
      </c>
      <c r="C14" s="3" t="s">
        <v>26</v>
      </c>
    </row>
    <row r="15" customFormat="false" ht="20.15" hidden="false" customHeight="true" outlineLevel="0" collapsed="false">
      <c r="A15" s="3" t="s">
        <v>28</v>
      </c>
      <c r="B15" s="4" t="s">
        <v>29</v>
      </c>
      <c r="C15" s="3" t="s">
        <v>28</v>
      </c>
    </row>
    <row r="16" customFormat="false" ht="20.15" hidden="false" customHeight="true" outlineLevel="0" collapsed="false">
      <c r="A16" s="3" t="s">
        <v>30</v>
      </c>
      <c r="B16" s="4" t="s">
        <v>31</v>
      </c>
      <c r="C16" s="3" t="s">
        <v>30</v>
      </c>
    </row>
    <row r="17" customFormat="false" ht="20.15" hidden="false" customHeight="true" outlineLevel="0" collapsed="false">
      <c r="A17" s="3" t="s">
        <v>32</v>
      </c>
      <c r="B17" s="4" t="s">
        <v>33</v>
      </c>
      <c r="C17" s="3" t="s">
        <v>32</v>
      </c>
    </row>
    <row r="18" customFormat="false" ht="20.15" hidden="false" customHeight="true" outlineLevel="0" collapsed="false">
      <c r="A18" s="3" t="s">
        <v>34</v>
      </c>
      <c r="B18" s="4" t="s">
        <v>35</v>
      </c>
      <c r="C18" s="3" t="s">
        <v>34</v>
      </c>
    </row>
    <row r="19" customFormat="false" ht="20.15" hidden="false" customHeight="true" outlineLevel="0" collapsed="false">
      <c r="A19" s="3" t="s">
        <v>36</v>
      </c>
      <c r="B19" s="4" t="s">
        <v>37</v>
      </c>
      <c r="C19" s="3" t="s">
        <v>36</v>
      </c>
    </row>
    <row r="20" customFormat="false" ht="20.15" hidden="false" customHeight="true" outlineLevel="0" collapsed="false">
      <c r="A20" s="3" t="s">
        <v>38</v>
      </c>
      <c r="B20" s="4" t="s">
        <v>39</v>
      </c>
      <c r="C20" s="3" t="s">
        <v>38</v>
      </c>
    </row>
    <row r="21" customFormat="false" ht="20.15" hidden="false" customHeight="true" outlineLevel="0" collapsed="false">
      <c r="A21" s="5" t="s">
        <v>40</v>
      </c>
      <c r="B21" s="6" t="s">
        <v>41</v>
      </c>
      <c r="C21" s="5" t="s">
        <v>40</v>
      </c>
    </row>
    <row r="22" customFormat="false" ht="20.15" hidden="false" customHeight="true" outlineLevel="0" collapsed="false">
      <c r="A22" s="3" t="s">
        <v>42</v>
      </c>
      <c r="B22" s="4" t="s">
        <v>43</v>
      </c>
      <c r="C22" s="3" t="s">
        <v>42</v>
      </c>
    </row>
    <row r="23" customFormat="false" ht="20.15" hidden="false" customHeight="true" outlineLevel="0" collapsed="false">
      <c r="A23" s="5" t="s">
        <v>44</v>
      </c>
      <c r="B23" s="6" t="s">
        <v>45</v>
      </c>
      <c r="C23" s="5" t="s">
        <v>44</v>
      </c>
    </row>
    <row r="24" customFormat="false" ht="20.15" hidden="false" customHeight="true" outlineLevel="0" collapsed="false">
      <c r="A24" s="3" t="s">
        <v>46</v>
      </c>
      <c r="B24" s="4" t="s">
        <v>47</v>
      </c>
      <c r="C24" s="3" t="s">
        <v>46</v>
      </c>
    </row>
    <row r="25" customFormat="false" ht="20.15" hidden="false" customHeight="true" outlineLevel="0" collapsed="false">
      <c r="A25" s="3" t="s">
        <v>48</v>
      </c>
      <c r="B25" s="4" t="s">
        <v>49</v>
      </c>
      <c r="C25" s="3" t="s">
        <v>48</v>
      </c>
    </row>
    <row r="26" customFormat="false" ht="20.15" hidden="false" customHeight="true" outlineLevel="0" collapsed="false">
      <c r="A26" s="3" t="s">
        <v>50</v>
      </c>
      <c r="B26" s="4" t="s">
        <v>51</v>
      </c>
      <c r="C26" s="3" t="s">
        <v>50</v>
      </c>
    </row>
    <row r="27" customFormat="false" ht="20.15" hidden="false" customHeight="true" outlineLevel="0" collapsed="false">
      <c r="A27" s="3" t="s">
        <v>52</v>
      </c>
      <c r="B27" s="4" t="s">
        <v>53</v>
      </c>
      <c r="C27" s="3" t="s">
        <v>52</v>
      </c>
    </row>
    <row r="28" customFormat="false" ht="20.15" hidden="false" customHeight="true" outlineLevel="0" collapsed="false">
      <c r="A28" s="3" t="s">
        <v>54</v>
      </c>
      <c r="B28" s="4" t="s">
        <v>55</v>
      </c>
      <c r="C28" s="3" t="s">
        <v>54</v>
      </c>
    </row>
    <row r="29" customFormat="false" ht="20.15" hidden="false" customHeight="true" outlineLevel="0" collapsed="false">
      <c r="A29" s="5" t="s">
        <v>56</v>
      </c>
      <c r="B29" s="6" t="s">
        <v>57</v>
      </c>
      <c r="C29" s="5" t="s">
        <v>56</v>
      </c>
    </row>
    <row r="30" customFormat="false" ht="20.15" hidden="false" customHeight="true" outlineLevel="0" collapsed="false">
      <c r="A30" s="3" t="s">
        <v>58</v>
      </c>
      <c r="B30" s="4" t="s">
        <v>59</v>
      </c>
      <c r="C30" s="3" t="s">
        <v>58</v>
      </c>
    </row>
    <row r="31" customFormat="false" ht="20.15" hidden="false" customHeight="true" outlineLevel="0" collapsed="false">
      <c r="A31" s="3" t="s">
        <v>60</v>
      </c>
      <c r="B31" s="4" t="s">
        <v>61</v>
      </c>
      <c r="C31" s="3" t="s">
        <v>60</v>
      </c>
    </row>
    <row r="32" customFormat="false" ht="20.15" hidden="false" customHeight="true" outlineLevel="0" collapsed="false">
      <c r="A32" s="3" t="s">
        <v>62</v>
      </c>
      <c r="B32" s="4" t="s">
        <v>63</v>
      </c>
      <c r="C32" s="3" t="s">
        <v>62</v>
      </c>
    </row>
    <row r="33" customFormat="false" ht="20.15" hidden="false" customHeight="true" outlineLevel="0" collapsed="false">
      <c r="A33" s="3" t="s">
        <v>64</v>
      </c>
      <c r="B33" s="4" t="s">
        <v>65</v>
      </c>
      <c r="C33" s="3" t="s">
        <v>64</v>
      </c>
    </row>
    <row r="34" customFormat="false" ht="20.15" hidden="false" customHeight="true" outlineLevel="0" collapsed="false">
      <c r="A34" s="5" t="s">
        <v>66</v>
      </c>
      <c r="B34" s="6" t="s">
        <v>67</v>
      </c>
      <c r="C34" s="5" t="s">
        <v>66</v>
      </c>
    </row>
    <row r="35" customFormat="false" ht="20.15" hidden="false" customHeight="true" outlineLevel="0" collapsed="false">
      <c r="A35" s="3" t="s">
        <v>68</v>
      </c>
      <c r="B35" s="4" t="s">
        <v>69</v>
      </c>
      <c r="C35" s="3" t="s">
        <v>68</v>
      </c>
    </row>
    <row r="36" customFormat="false" ht="20.15" hidden="false" customHeight="true" outlineLevel="0" collapsed="false">
      <c r="A36" s="3" t="s">
        <v>70</v>
      </c>
      <c r="B36" s="4" t="s">
        <v>71</v>
      </c>
      <c r="C36" s="3" t="s">
        <v>70</v>
      </c>
    </row>
    <row r="37" customFormat="false" ht="20.15" hidden="false" customHeight="true" outlineLevel="0" collapsed="false">
      <c r="A37" s="3" t="s">
        <v>72</v>
      </c>
      <c r="B37" s="4" t="s">
        <v>73</v>
      </c>
      <c r="C37" s="3" t="s">
        <v>72</v>
      </c>
    </row>
    <row r="38" customFormat="false" ht="20.15" hidden="false" customHeight="true" outlineLevel="0" collapsed="false">
      <c r="A38" s="5" t="s">
        <v>74</v>
      </c>
      <c r="B38" s="6" t="s">
        <v>75</v>
      </c>
      <c r="C38" s="5" t="s">
        <v>74</v>
      </c>
    </row>
    <row r="39" customFormat="false" ht="20.15" hidden="false" customHeight="true" outlineLevel="0" collapsed="false">
      <c r="A39" s="3" t="s">
        <v>76</v>
      </c>
      <c r="B39" s="4" t="s">
        <v>77</v>
      </c>
      <c r="C39" s="3" t="s">
        <v>76</v>
      </c>
    </row>
    <row r="40" customFormat="false" ht="20.15" hidden="false" customHeight="true" outlineLevel="0" collapsed="false">
      <c r="A40" s="3" t="s">
        <v>78</v>
      </c>
      <c r="B40" s="4" t="s">
        <v>79</v>
      </c>
      <c r="C40" s="3" t="s">
        <v>78</v>
      </c>
    </row>
    <row r="41" customFormat="false" ht="20.15" hidden="false" customHeight="true" outlineLevel="0" collapsed="false">
      <c r="A41" s="3" t="s">
        <v>80</v>
      </c>
      <c r="B41" s="4" t="s">
        <v>81</v>
      </c>
      <c r="C41" s="3" t="s">
        <v>80</v>
      </c>
    </row>
    <row r="42" customFormat="false" ht="20.15" hidden="false" customHeight="true" outlineLevel="0" collapsed="false">
      <c r="A42" s="3" t="s">
        <v>82</v>
      </c>
      <c r="B42" s="4" t="s">
        <v>83</v>
      </c>
      <c r="C42" s="3" t="s">
        <v>82</v>
      </c>
    </row>
    <row r="43" customFormat="false" ht="20.15" hidden="false" customHeight="true" outlineLevel="0" collapsed="false">
      <c r="A43" s="3" t="s">
        <v>84</v>
      </c>
      <c r="B43" s="4" t="s">
        <v>85</v>
      </c>
      <c r="C43" s="3" t="s">
        <v>84</v>
      </c>
    </row>
    <row r="44" customFormat="false" ht="20.15" hidden="false" customHeight="true" outlineLevel="0" collapsed="false">
      <c r="A44" s="3" t="s">
        <v>86</v>
      </c>
      <c r="B44" s="4" t="s">
        <v>87</v>
      </c>
      <c r="C44" s="3" t="s">
        <v>86</v>
      </c>
    </row>
    <row r="45" customFormat="false" ht="20.15" hidden="false" customHeight="true" outlineLevel="0" collapsed="false">
      <c r="A45" s="3" t="s">
        <v>88</v>
      </c>
      <c r="B45" s="4" t="s">
        <v>89</v>
      </c>
      <c r="C45" s="3" t="s">
        <v>88</v>
      </c>
    </row>
    <row r="46" customFormat="false" ht="20.15" hidden="false" customHeight="true" outlineLevel="0" collapsed="false">
      <c r="A46" s="5" t="s">
        <v>90</v>
      </c>
      <c r="B46" s="6" t="s">
        <v>91</v>
      </c>
      <c r="C46" s="5" t="s">
        <v>90</v>
      </c>
    </row>
    <row r="47" customFormat="false" ht="20.15" hidden="false" customHeight="true" outlineLevel="0" collapsed="false">
      <c r="A47" s="3" t="s">
        <v>92</v>
      </c>
      <c r="B47" s="4" t="s">
        <v>93</v>
      </c>
      <c r="C47" s="3" t="s">
        <v>92</v>
      </c>
    </row>
    <row r="48" customFormat="false" ht="20.15" hidden="false" customHeight="true" outlineLevel="0" collapsed="false">
      <c r="A48" s="3" t="s">
        <v>94</v>
      </c>
      <c r="B48" s="4" t="s">
        <v>95</v>
      </c>
      <c r="C48" s="3" t="s">
        <v>94</v>
      </c>
    </row>
    <row r="49" customFormat="false" ht="20.15" hidden="false" customHeight="true" outlineLevel="0" collapsed="false">
      <c r="A49" s="3" t="s">
        <v>96</v>
      </c>
      <c r="B49" s="4" t="s">
        <v>97</v>
      </c>
      <c r="C49" s="3" t="s">
        <v>96</v>
      </c>
    </row>
    <row r="50" customFormat="false" ht="20.15" hidden="false" customHeight="true" outlineLevel="0" collapsed="false">
      <c r="A50" s="3" t="s">
        <v>98</v>
      </c>
      <c r="B50" s="4" t="s">
        <v>99</v>
      </c>
      <c r="C50" s="3" t="s">
        <v>98</v>
      </c>
    </row>
    <row r="51" customFormat="false" ht="20.15" hidden="false" customHeight="true" outlineLevel="0" collapsed="false">
      <c r="A51" s="5" t="s">
        <v>100</v>
      </c>
      <c r="B51" s="7" t="s">
        <v>101</v>
      </c>
      <c r="C51" s="5" t="s">
        <v>100</v>
      </c>
    </row>
    <row r="52" customFormat="false" ht="20.15" hidden="false" customHeight="true" outlineLevel="0" collapsed="false">
      <c r="A52" s="3" t="s">
        <v>102</v>
      </c>
      <c r="B52" s="8" t="s">
        <v>103</v>
      </c>
      <c r="C52" s="3" t="s">
        <v>102</v>
      </c>
    </row>
    <row r="53" customFormat="false" ht="20.15" hidden="false" customHeight="true" outlineLevel="0" collapsed="false">
      <c r="A53" s="3" t="s">
        <v>104</v>
      </c>
      <c r="B53" s="8" t="s">
        <v>105</v>
      </c>
      <c r="C53" s="3" t="s">
        <v>104</v>
      </c>
    </row>
    <row r="54" customFormat="false" ht="20.15" hidden="false" customHeight="true" outlineLevel="0" collapsed="false">
      <c r="A54" s="5" t="s">
        <v>106</v>
      </c>
      <c r="B54" s="6" t="s">
        <v>107</v>
      </c>
      <c r="C54" s="5" t="s">
        <v>106</v>
      </c>
    </row>
    <row r="55" customFormat="false" ht="20.15" hidden="false" customHeight="true" outlineLevel="0" collapsed="false">
      <c r="A55" s="3" t="s">
        <v>108</v>
      </c>
      <c r="B55" s="4" t="s">
        <v>109</v>
      </c>
      <c r="C55" s="3" t="s">
        <v>108</v>
      </c>
    </row>
    <row r="56" customFormat="false" ht="20.15" hidden="false" customHeight="true" outlineLevel="0" collapsed="false">
      <c r="A56" s="3" t="s">
        <v>110</v>
      </c>
      <c r="B56" s="8" t="s">
        <v>111</v>
      </c>
      <c r="C56" s="3" t="s">
        <v>110</v>
      </c>
    </row>
    <row r="57" customFormat="false" ht="20.15" hidden="false" customHeight="true" outlineLevel="0" collapsed="false">
      <c r="A57" s="5" t="s">
        <v>112</v>
      </c>
      <c r="B57" s="6" t="s">
        <v>113</v>
      </c>
      <c r="C57" s="5" t="s">
        <v>112</v>
      </c>
    </row>
    <row r="58" customFormat="false" ht="20.15" hidden="false" customHeight="true" outlineLevel="0" collapsed="false">
      <c r="A58" s="3" t="s">
        <v>114</v>
      </c>
      <c r="B58" s="4" t="s">
        <v>115</v>
      </c>
      <c r="C58" s="3" t="s">
        <v>114</v>
      </c>
    </row>
    <row r="59" customFormat="false" ht="20.15" hidden="false" customHeight="true" outlineLevel="0" collapsed="false">
      <c r="A59" s="3" t="s">
        <v>116</v>
      </c>
      <c r="B59" s="4" t="s">
        <v>117</v>
      </c>
      <c r="C59" s="3" t="s">
        <v>116</v>
      </c>
    </row>
    <row r="60" customFormat="false" ht="20.15" hidden="false" customHeight="true" outlineLevel="0" collapsed="false">
      <c r="A60" s="3" t="s">
        <v>118</v>
      </c>
      <c r="B60" s="4" t="s">
        <v>119</v>
      </c>
      <c r="C60" s="3" t="s">
        <v>118</v>
      </c>
    </row>
    <row r="61" customFormat="false" ht="20.15" hidden="false" customHeight="true" outlineLevel="0" collapsed="false">
      <c r="A61" s="5" t="s">
        <v>120</v>
      </c>
      <c r="B61" s="6" t="s">
        <v>121</v>
      </c>
      <c r="C61" s="5" t="s">
        <v>120</v>
      </c>
    </row>
    <row r="62" customFormat="false" ht="20.15" hidden="false" customHeight="true" outlineLevel="0" collapsed="false">
      <c r="A62" s="3" t="s">
        <v>122</v>
      </c>
      <c r="B62" s="4" t="s">
        <v>123</v>
      </c>
      <c r="C62" s="3" t="s">
        <v>122</v>
      </c>
    </row>
    <row r="63" customFormat="false" ht="20.15" hidden="false" customHeight="true" outlineLevel="0" collapsed="false">
      <c r="A63" s="3" t="s">
        <v>124</v>
      </c>
      <c r="B63" s="4" t="s">
        <v>125</v>
      </c>
      <c r="C63" s="3" t="s">
        <v>124</v>
      </c>
    </row>
    <row r="64" customFormat="false" ht="20.15" hidden="false" customHeight="true" outlineLevel="0" collapsed="false">
      <c r="A64" s="3" t="s">
        <v>126</v>
      </c>
      <c r="B64" s="4" t="s">
        <v>127</v>
      </c>
      <c r="C64" s="3" t="s">
        <v>126</v>
      </c>
    </row>
    <row r="65" customFormat="false" ht="20.15" hidden="false" customHeight="true" outlineLevel="0" collapsed="false">
      <c r="A65" s="3" t="s">
        <v>128</v>
      </c>
      <c r="B65" s="4" t="s">
        <v>129</v>
      </c>
      <c r="C65" s="3" t="s">
        <v>128</v>
      </c>
    </row>
    <row r="66" customFormat="false" ht="20.15" hidden="false" customHeight="true" outlineLevel="0" collapsed="false">
      <c r="A66" s="5" t="s">
        <v>130</v>
      </c>
      <c r="B66" s="6" t="s">
        <v>131</v>
      </c>
      <c r="C66" s="5" t="s">
        <v>130</v>
      </c>
    </row>
    <row r="67" customFormat="false" ht="20.15" hidden="false" customHeight="true" outlineLevel="0" collapsed="false">
      <c r="A67" s="3" t="s">
        <v>132</v>
      </c>
      <c r="B67" s="4" t="s">
        <v>133</v>
      </c>
      <c r="C67" s="3" t="s">
        <v>132</v>
      </c>
    </row>
    <row r="68" customFormat="false" ht="20.15" hidden="false" customHeight="true" outlineLevel="0" collapsed="false">
      <c r="A68" s="3" t="s">
        <v>134</v>
      </c>
      <c r="B68" s="4" t="s">
        <v>135</v>
      </c>
      <c r="C68" s="3" t="s">
        <v>134</v>
      </c>
    </row>
    <row r="69" customFormat="false" ht="20.15" hidden="false" customHeight="true" outlineLevel="0" collapsed="false">
      <c r="A69" s="3" t="s">
        <v>136</v>
      </c>
      <c r="B69" s="4" t="s">
        <v>137</v>
      </c>
      <c r="C69" s="3" t="s">
        <v>136</v>
      </c>
    </row>
    <row r="70" customFormat="false" ht="20.15" hidden="false" customHeight="true" outlineLevel="0" collapsed="false">
      <c r="A70" s="3" t="s">
        <v>138</v>
      </c>
      <c r="B70" s="4" t="s">
        <v>139</v>
      </c>
      <c r="C70" s="3" t="s">
        <v>138</v>
      </c>
    </row>
    <row r="71" customFormat="false" ht="20.15" hidden="false" customHeight="true" outlineLevel="0" collapsed="false">
      <c r="A71" s="3" t="s">
        <v>140</v>
      </c>
      <c r="B71" s="4" t="s">
        <v>141</v>
      </c>
      <c r="C71" s="3" t="s">
        <v>140</v>
      </c>
    </row>
    <row r="72" customFormat="false" ht="20.15" hidden="false" customHeight="true" outlineLevel="0" collapsed="false">
      <c r="A72" s="5" t="s">
        <v>142</v>
      </c>
      <c r="B72" s="6" t="s">
        <v>143</v>
      </c>
      <c r="C72" s="5" t="s">
        <v>142</v>
      </c>
    </row>
    <row r="73" customFormat="false" ht="20.15" hidden="false" customHeight="true" outlineLevel="0" collapsed="false">
      <c r="A73" s="3" t="s">
        <v>144</v>
      </c>
      <c r="B73" s="4" t="s">
        <v>145</v>
      </c>
      <c r="C73" s="3" t="s">
        <v>144</v>
      </c>
    </row>
    <row r="74" customFormat="false" ht="20.15" hidden="false" customHeight="true" outlineLevel="0" collapsed="false">
      <c r="A74" s="3" t="s">
        <v>146</v>
      </c>
      <c r="B74" s="4" t="s">
        <v>147</v>
      </c>
      <c r="C74" s="3" t="s">
        <v>146</v>
      </c>
    </row>
    <row r="75" customFormat="false" ht="20.15" hidden="false" customHeight="true" outlineLevel="0" collapsed="false">
      <c r="A75" s="3" t="s">
        <v>148</v>
      </c>
      <c r="B75" s="4" t="s">
        <v>149</v>
      </c>
      <c r="C75" s="3" t="s">
        <v>148</v>
      </c>
    </row>
    <row r="76" customFormat="false" ht="20.15" hidden="false" customHeight="true" outlineLevel="0" collapsed="false">
      <c r="A76" s="3" t="s">
        <v>150</v>
      </c>
      <c r="B76" s="4" t="s">
        <v>151</v>
      </c>
      <c r="C76" s="3" t="s">
        <v>150</v>
      </c>
    </row>
    <row r="77" customFormat="false" ht="20.15" hidden="false" customHeight="true" outlineLevel="0" collapsed="false">
      <c r="A77" s="5" t="s">
        <v>152</v>
      </c>
      <c r="B77" s="6" t="s">
        <v>153</v>
      </c>
      <c r="C77" s="5" t="s">
        <v>152</v>
      </c>
    </row>
    <row r="78" customFormat="false" ht="20.15" hidden="false" customHeight="true" outlineLevel="0" collapsed="false">
      <c r="A78" s="3" t="s">
        <v>154</v>
      </c>
      <c r="B78" s="4" t="s">
        <v>155</v>
      </c>
      <c r="C78" s="3" t="s">
        <v>154</v>
      </c>
    </row>
    <row r="79" customFormat="false" ht="20.15" hidden="false" customHeight="true" outlineLevel="0" collapsed="false">
      <c r="A79" s="3" t="s">
        <v>156</v>
      </c>
      <c r="B79" s="4" t="s">
        <v>157</v>
      </c>
      <c r="C79" s="3" t="s">
        <v>156</v>
      </c>
    </row>
    <row r="80" customFormat="false" ht="20.15" hidden="false" customHeight="true" outlineLevel="0" collapsed="false">
      <c r="A80" s="3" t="s">
        <v>158</v>
      </c>
      <c r="B80" s="4" t="s">
        <v>159</v>
      </c>
      <c r="C80" s="3" t="s">
        <v>158</v>
      </c>
    </row>
    <row r="81" customFormat="false" ht="20.15" hidden="false" customHeight="true" outlineLevel="0" collapsed="false">
      <c r="A81" s="3" t="s">
        <v>160</v>
      </c>
      <c r="B81" s="4" t="s">
        <v>161</v>
      </c>
      <c r="C81" s="3" t="s">
        <v>160</v>
      </c>
    </row>
    <row r="82" customFormat="false" ht="20.15" hidden="false" customHeight="true" outlineLevel="0" collapsed="false">
      <c r="A82" s="5" t="s">
        <v>162</v>
      </c>
      <c r="B82" s="7" t="s">
        <v>163</v>
      </c>
      <c r="C82" s="5" t="s">
        <v>162</v>
      </c>
    </row>
    <row r="83" customFormat="false" ht="20.15" hidden="false" customHeight="true" outlineLevel="0" collapsed="false">
      <c r="A83" s="3" t="s">
        <v>164</v>
      </c>
      <c r="B83" s="4" t="s">
        <v>165</v>
      </c>
      <c r="C83" s="3" t="s">
        <v>164</v>
      </c>
    </row>
    <row r="84" customFormat="false" ht="20.15" hidden="false" customHeight="true" outlineLevel="0" collapsed="false">
      <c r="A84" s="3" t="s">
        <v>166</v>
      </c>
      <c r="B84" s="4" t="s">
        <v>167</v>
      </c>
      <c r="C84" s="3" t="s">
        <v>166</v>
      </c>
    </row>
    <row r="85" customFormat="false" ht="20.15" hidden="false" customHeight="true" outlineLevel="0" collapsed="false">
      <c r="A85" s="3" t="s">
        <v>168</v>
      </c>
      <c r="B85" s="4" t="s">
        <v>169</v>
      </c>
      <c r="C85" s="3" t="s">
        <v>168</v>
      </c>
    </row>
    <row r="86" customFormat="false" ht="20.15" hidden="false" customHeight="true" outlineLevel="0" collapsed="false">
      <c r="A86" s="3" t="s">
        <v>170</v>
      </c>
      <c r="B86" s="4" t="s">
        <v>171</v>
      </c>
      <c r="C86" s="3" t="s">
        <v>170</v>
      </c>
    </row>
    <row r="87" customFormat="false" ht="20.15" hidden="false" customHeight="true" outlineLevel="0" collapsed="false">
      <c r="A87" s="3" t="s">
        <v>172</v>
      </c>
      <c r="B87" s="4" t="s">
        <v>173</v>
      </c>
      <c r="C87" s="3" t="s">
        <v>172</v>
      </c>
    </row>
    <row r="88" customFormat="false" ht="20.15" hidden="false" customHeight="true" outlineLevel="0" collapsed="false">
      <c r="A88" s="3" t="s">
        <v>174</v>
      </c>
      <c r="B88" s="4" t="s">
        <v>175</v>
      </c>
      <c r="C88" s="3" t="s">
        <v>174</v>
      </c>
    </row>
    <row r="89" customFormat="false" ht="20.15" hidden="false" customHeight="true" outlineLevel="0" collapsed="false">
      <c r="A89" s="5" t="s">
        <v>176</v>
      </c>
      <c r="B89" s="6" t="s">
        <v>177</v>
      </c>
      <c r="C89" s="5" t="s">
        <v>176</v>
      </c>
    </row>
    <row r="90" customFormat="false" ht="20.15" hidden="false" customHeight="true" outlineLevel="0" collapsed="false">
      <c r="A90" s="3" t="s">
        <v>178</v>
      </c>
      <c r="B90" s="4" t="s">
        <v>179</v>
      </c>
      <c r="C90" s="3" t="s">
        <v>178</v>
      </c>
    </row>
    <row r="91" customFormat="false" ht="20.15" hidden="false" customHeight="true" outlineLevel="0" collapsed="false">
      <c r="A91" s="3" t="s">
        <v>180</v>
      </c>
      <c r="B91" s="4" t="s">
        <v>181</v>
      </c>
      <c r="C91" s="3" t="s">
        <v>180</v>
      </c>
    </row>
    <row r="92" customFormat="false" ht="20.15" hidden="false" customHeight="true" outlineLevel="0" collapsed="false">
      <c r="A92" s="3" t="s">
        <v>182</v>
      </c>
      <c r="B92" s="4" t="s">
        <v>183</v>
      </c>
      <c r="C92" s="3" t="s">
        <v>182</v>
      </c>
    </row>
    <row r="93" customFormat="false" ht="20.15" hidden="false" customHeight="true" outlineLevel="0" collapsed="false">
      <c r="A93" s="3" t="s">
        <v>184</v>
      </c>
      <c r="B93" s="4" t="s">
        <v>185</v>
      </c>
      <c r="C93" s="3" t="s">
        <v>184</v>
      </c>
    </row>
    <row r="94" customFormat="false" ht="20.15" hidden="false" customHeight="true" outlineLevel="0" collapsed="false">
      <c r="A94" s="5" t="s">
        <v>186</v>
      </c>
      <c r="B94" s="6" t="s">
        <v>187</v>
      </c>
      <c r="C94" s="5" t="s">
        <v>186</v>
      </c>
    </row>
    <row r="95" customFormat="false" ht="20.15" hidden="false" customHeight="true" outlineLevel="0" collapsed="false">
      <c r="A95" s="3" t="s">
        <v>188</v>
      </c>
      <c r="B95" s="4" t="s">
        <v>189</v>
      </c>
      <c r="C95" s="3" t="s">
        <v>188</v>
      </c>
    </row>
    <row r="96" customFormat="false" ht="20.15" hidden="false" customHeight="true" outlineLevel="0" collapsed="false">
      <c r="A96" s="3" t="s">
        <v>190</v>
      </c>
      <c r="B96" s="4" t="s">
        <v>191</v>
      </c>
      <c r="C96" s="3" t="s">
        <v>190</v>
      </c>
    </row>
    <row r="97" customFormat="false" ht="20.15" hidden="false" customHeight="true" outlineLevel="0" collapsed="false">
      <c r="A97" s="5" t="s">
        <v>192</v>
      </c>
      <c r="B97" s="6" t="s">
        <v>193</v>
      </c>
      <c r="C97" s="5" t="s">
        <v>192</v>
      </c>
    </row>
    <row r="98" customFormat="false" ht="20.15" hidden="false" customHeight="true" outlineLevel="0" collapsed="false">
      <c r="A98" s="3" t="s">
        <v>194</v>
      </c>
      <c r="B98" s="4" t="s">
        <v>195</v>
      </c>
      <c r="C98" s="3" t="s">
        <v>194</v>
      </c>
    </row>
    <row r="99" customFormat="false" ht="20.15" hidden="false" customHeight="true" outlineLevel="0" collapsed="false">
      <c r="A99" s="3" t="s">
        <v>196</v>
      </c>
      <c r="B99" s="4" t="s">
        <v>197</v>
      </c>
      <c r="C99" s="3" t="s">
        <v>196</v>
      </c>
    </row>
    <row r="100" customFormat="false" ht="20.15" hidden="false" customHeight="true" outlineLevel="0" collapsed="false">
      <c r="A100" s="5" t="s">
        <v>198</v>
      </c>
      <c r="B100" s="6" t="s">
        <v>199</v>
      </c>
      <c r="C100" s="5" t="s">
        <v>198</v>
      </c>
    </row>
    <row r="101" customFormat="false" ht="20.15" hidden="false" customHeight="true" outlineLevel="0" collapsed="false">
      <c r="A101" s="3" t="s">
        <v>200</v>
      </c>
      <c r="B101" s="4" t="s">
        <v>201</v>
      </c>
      <c r="C101" s="3" t="s">
        <v>200</v>
      </c>
    </row>
    <row r="102" customFormat="false" ht="20.15" hidden="false" customHeight="true" outlineLevel="0" collapsed="false">
      <c r="A102" s="5" t="s">
        <v>202</v>
      </c>
      <c r="B102" s="9" t="s">
        <v>203</v>
      </c>
      <c r="C102" s="5" t="s">
        <v>202</v>
      </c>
    </row>
    <row r="103" customFormat="false" ht="20.15" hidden="false" customHeight="true" outlineLevel="0" collapsed="false">
      <c r="A103" s="3" t="s">
        <v>204</v>
      </c>
      <c r="B103" s="10" t="s">
        <v>205</v>
      </c>
      <c r="C103" s="3" t="s">
        <v>204</v>
      </c>
    </row>
    <row r="104" customFormat="false" ht="20.15" hidden="false" customHeight="true" outlineLevel="0" collapsed="false">
      <c r="A104" s="3" t="s">
        <v>206</v>
      </c>
      <c r="B104" s="10" t="s">
        <v>207</v>
      </c>
      <c r="C104" s="3" t="s">
        <v>206</v>
      </c>
    </row>
    <row r="105" customFormat="false" ht="20.15" hidden="false" customHeight="true" outlineLevel="0" collapsed="false">
      <c r="A105" s="5" t="s">
        <v>208</v>
      </c>
      <c r="B105" s="6" t="s">
        <v>209</v>
      </c>
      <c r="C105" s="5" t="s">
        <v>208</v>
      </c>
    </row>
    <row r="106" customFormat="false" ht="20.15" hidden="false" customHeight="true" outlineLevel="0" collapsed="false">
      <c r="A106" s="3" t="s">
        <v>210</v>
      </c>
      <c r="B106" s="4" t="s">
        <v>211</v>
      </c>
      <c r="C106" s="3" t="s">
        <v>210</v>
      </c>
    </row>
    <row r="107" customFormat="false" ht="20.15" hidden="false" customHeight="true" outlineLevel="0" collapsed="false">
      <c r="A107" s="3" t="s">
        <v>212</v>
      </c>
      <c r="B107" s="4" t="s">
        <v>213</v>
      </c>
      <c r="C107" s="3" t="s">
        <v>212</v>
      </c>
    </row>
    <row r="108" customFormat="false" ht="20.15" hidden="false" customHeight="true" outlineLevel="0" collapsed="false">
      <c r="A108" s="3" t="s">
        <v>214</v>
      </c>
      <c r="B108" s="4" t="s">
        <v>215</v>
      </c>
      <c r="C108" s="3" t="s">
        <v>214</v>
      </c>
    </row>
    <row r="109" customFormat="false" ht="20.15" hidden="false" customHeight="true" outlineLevel="0" collapsed="false">
      <c r="A109" s="3" t="s">
        <v>216</v>
      </c>
      <c r="B109" s="4" t="s">
        <v>217</v>
      </c>
      <c r="C109" s="3" t="s">
        <v>216</v>
      </c>
    </row>
    <row r="110" customFormat="false" ht="20.15" hidden="false" customHeight="true" outlineLevel="0" collapsed="false">
      <c r="A110" s="5" t="s">
        <v>218</v>
      </c>
      <c r="B110" s="6" t="s">
        <v>219</v>
      </c>
      <c r="C110" s="5" t="s">
        <v>218</v>
      </c>
    </row>
    <row r="111" customFormat="false" ht="20.15" hidden="false" customHeight="true" outlineLevel="0" collapsed="false">
      <c r="A111" s="3" t="s">
        <v>220</v>
      </c>
      <c r="B111" s="4" t="s">
        <v>221</v>
      </c>
      <c r="C111" s="3" t="s">
        <v>220</v>
      </c>
    </row>
    <row r="112" customFormat="false" ht="20.15" hidden="false" customHeight="true" outlineLevel="0" collapsed="false">
      <c r="A112" s="3" t="s">
        <v>222</v>
      </c>
      <c r="B112" s="4" t="s">
        <v>223</v>
      </c>
      <c r="C112" s="3" t="s">
        <v>222</v>
      </c>
    </row>
    <row r="113" customFormat="false" ht="20.15" hidden="false" customHeight="true" outlineLevel="0" collapsed="false">
      <c r="A113" s="3" t="s">
        <v>224</v>
      </c>
      <c r="B113" s="4" t="s">
        <v>225</v>
      </c>
      <c r="C113" s="3" t="s">
        <v>224</v>
      </c>
    </row>
    <row r="114" customFormat="false" ht="20.15" hidden="false" customHeight="true" outlineLevel="0" collapsed="false">
      <c r="A114" s="5" t="s">
        <v>226</v>
      </c>
      <c r="B114" s="6" t="s">
        <v>227</v>
      </c>
      <c r="C114" s="5" t="s">
        <v>226</v>
      </c>
    </row>
    <row r="115" customFormat="false" ht="20.15" hidden="false" customHeight="true" outlineLevel="0" collapsed="false">
      <c r="A115" s="5" t="s">
        <v>228</v>
      </c>
      <c r="B115" s="6" t="s">
        <v>229</v>
      </c>
      <c r="C115" s="5" t="s">
        <v>228</v>
      </c>
    </row>
    <row r="116" customFormat="false" ht="20.15" hidden="false" customHeight="true" outlineLevel="0" collapsed="false">
      <c r="A116" s="5" t="s">
        <v>230</v>
      </c>
      <c r="B116" s="6" t="s">
        <v>231</v>
      </c>
      <c r="C116" s="5" t="s">
        <v>230</v>
      </c>
    </row>
    <row r="117" customFormat="false" ht="20.15" hidden="false" customHeight="true" outlineLevel="0" collapsed="false">
      <c r="A117" s="3" t="s">
        <v>232</v>
      </c>
      <c r="B117" s="4" t="s">
        <v>233</v>
      </c>
      <c r="C117" s="3" t="s">
        <v>232</v>
      </c>
    </row>
    <row r="118" customFormat="false" ht="20.15" hidden="false" customHeight="true" outlineLevel="0" collapsed="false">
      <c r="A118" s="5" t="s">
        <v>234</v>
      </c>
      <c r="B118" s="6" t="s">
        <v>235</v>
      </c>
      <c r="C118" s="5" t="s">
        <v>234</v>
      </c>
    </row>
    <row r="119" customFormat="false" ht="20.15" hidden="false" customHeight="true" outlineLevel="0" collapsed="false">
      <c r="A119" s="5" t="s">
        <v>236</v>
      </c>
      <c r="B119" s="6" t="s">
        <v>237</v>
      </c>
      <c r="C119" s="5" t="s">
        <v>236</v>
      </c>
    </row>
    <row r="120" customFormat="false" ht="20.15" hidden="false" customHeight="true" outlineLevel="0" collapsed="false">
      <c r="A120" s="3" t="s">
        <v>238</v>
      </c>
      <c r="B120" s="4" t="s">
        <v>239</v>
      </c>
      <c r="C120" s="3" t="s">
        <v>238</v>
      </c>
    </row>
    <row r="121" customFormat="false" ht="20.15" hidden="false" customHeight="true" outlineLevel="0" collapsed="false">
      <c r="A121" s="3" t="s">
        <v>240</v>
      </c>
      <c r="B121" s="4" t="s">
        <v>241</v>
      </c>
      <c r="C121" s="3" t="s">
        <v>240</v>
      </c>
    </row>
    <row r="122" customFormat="false" ht="20.15" hidden="false" customHeight="true" outlineLevel="0" collapsed="false">
      <c r="A122" s="5" t="s">
        <v>242</v>
      </c>
      <c r="B122" s="6" t="s">
        <v>243</v>
      </c>
      <c r="C122" s="5" t="s">
        <v>242</v>
      </c>
    </row>
    <row r="123" customFormat="false" ht="20.15" hidden="false" customHeight="true" outlineLevel="0" collapsed="false">
      <c r="A123" s="5" t="s">
        <v>244</v>
      </c>
      <c r="B123" s="6" t="s">
        <v>245</v>
      </c>
      <c r="C123" s="5" t="s">
        <v>244</v>
      </c>
    </row>
    <row r="124" customFormat="false" ht="20.15" hidden="false" customHeight="true" outlineLevel="0" collapsed="false">
      <c r="A124" s="5" t="s">
        <v>246</v>
      </c>
      <c r="B124" s="6" t="s">
        <v>247</v>
      </c>
      <c r="C124" s="5" t="s">
        <v>246</v>
      </c>
    </row>
    <row r="125" customFormat="false" ht="20.15" hidden="false" customHeight="true" outlineLevel="0" collapsed="false">
      <c r="A125" s="5" t="s">
        <v>248</v>
      </c>
      <c r="B125" s="6" t="s">
        <v>249</v>
      </c>
      <c r="C125" s="5" t="s">
        <v>248</v>
      </c>
    </row>
    <row r="126" customFormat="false" ht="20.15" hidden="false" customHeight="true" outlineLevel="0" collapsed="false">
      <c r="A126" s="5" t="s">
        <v>250</v>
      </c>
      <c r="B126" s="6" t="s">
        <v>251</v>
      </c>
      <c r="C126" s="5" t="s">
        <v>250</v>
      </c>
    </row>
    <row r="127" customFormat="false" ht="20.15" hidden="false" customHeight="true" outlineLevel="0" collapsed="false">
      <c r="A127" s="5" t="s">
        <v>252</v>
      </c>
      <c r="B127" s="6" t="s">
        <v>253</v>
      </c>
      <c r="C127" s="5" t="s">
        <v>252</v>
      </c>
    </row>
    <row r="128" customFormat="false" ht="20.15" hidden="false" customHeight="true" outlineLevel="0" collapsed="false">
      <c r="A128" s="5" t="s">
        <v>254</v>
      </c>
      <c r="B128" s="6" t="s">
        <v>255</v>
      </c>
      <c r="C128" s="5" t="s">
        <v>254</v>
      </c>
    </row>
    <row r="129" customFormat="false" ht="20.15" hidden="false" customHeight="true" outlineLevel="0" collapsed="false">
      <c r="A129" s="5" t="s">
        <v>256</v>
      </c>
      <c r="B129" s="6" t="s">
        <v>257</v>
      </c>
      <c r="C129" s="5" t="s">
        <v>256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A13" activeCellId="0" sqref="A13"/>
    </sheetView>
  </sheetViews>
  <sheetFormatPr defaultColWidth="11.4375" defaultRowHeight="15.05" zeroHeight="false" outlineLevelRow="0" outlineLevelCol="0"/>
  <cols>
    <col collapsed="false" customWidth="true" hidden="false" outlineLevel="0" max="1" min="1" style="0" width="21.99"/>
    <col collapsed="false" customWidth="true" hidden="false" outlineLevel="0" max="2" min="2" style="0" width="65.64"/>
  </cols>
  <sheetData>
    <row r="1" customFormat="false" ht="15.05" hidden="false" customHeight="false" outlineLevel="0" collapsed="false">
      <c r="A1" s="0" t="s">
        <v>258</v>
      </c>
      <c r="B1" s="0" t="s">
        <v>259</v>
      </c>
    </row>
    <row r="2" customFormat="false" ht="15.05" hidden="false" customHeight="false" outlineLevel="0" collapsed="false">
      <c r="B2" s="0" t="s">
        <v>260</v>
      </c>
    </row>
    <row r="4" customFormat="false" ht="15.05" hidden="false" customHeight="false" outlineLevel="0" collapsed="false">
      <c r="A4" s="0" t="s">
        <v>261</v>
      </c>
      <c r="B4" s="0" t="s">
        <v>262</v>
      </c>
      <c r="C4" s="0" t="s">
        <v>263</v>
      </c>
    </row>
    <row r="5" customFormat="false" ht="15.05" hidden="false" customHeight="false" outlineLevel="0" collapsed="false">
      <c r="B5" s="0" t="s">
        <v>264</v>
      </c>
      <c r="C5" s="0" t="s">
        <v>265</v>
      </c>
    </row>
    <row r="8" customFormat="false" ht="15.05" hidden="false" customHeight="false" outlineLevel="0" collapsed="false">
      <c r="A8" s="0" t="s">
        <v>266</v>
      </c>
      <c r="B8" s="0" t="s">
        <v>267</v>
      </c>
      <c r="C8" s="0" t="s">
        <v>268</v>
      </c>
    </row>
    <row r="9" customFormat="false" ht="15.05" hidden="false" customHeight="false" outlineLevel="0" collapsed="false">
      <c r="B9" s="0" t="s">
        <v>269</v>
      </c>
      <c r="C9" s="0" t="s">
        <v>270</v>
      </c>
    </row>
    <row r="10" customFormat="false" ht="15.05" hidden="false" customHeight="false" outlineLevel="0" collapsed="false">
      <c r="B10" s="0" t="s">
        <v>271</v>
      </c>
      <c r="C10" s="0" t="s">
        <v>272</v>
      </c>
    </row>
    <row r="13" customFormat="false" ht="15.05" hidden="false" customHeight="false" outlineLevel="0" collapsed="false">
      <c r="A13" s="0" t="s">
        <v>273</v>
      </c>
      <c r="B13" s="0" t="s">
        <v>274</v>
      </c>
    </row>
    <row r="14" customFormat="false" ht="15.05" hidden="false" customHeight="false" outlineLevel="0" collapsed="false">
      <c r="B14" s="0" t="s">
        <v>275</v>
      </c>
    </row>
    <row r="15" customFormat="false" ht="15.05" hidden="false" customHeight="false" outlineLevel="0" collapsed="false">
      <c r="B15" s="0" t="s">
        <v>276</v>
      </c>
    </row>
    <row r="16" customFormat="false" ht="15.05" hidden="false" customHeight="false" outlineLevel="0" collapsed="false">
      <c r="B16" s="0" t="s">
        <v>277</v>
      </c>
    </row>
    <row r="17" customFormat="false" ht="15.05" hidden="false" customHeight="false" outlineLevel="0" collapsed="false">
      <c r="B17" s="0" t="s">
        <v>278</v>
      </c>
    </row>
    <row r="18" customFormat="false" ht="15.05" hidden="false" customHeight="false" outlineLevel="0" collapsed="false">
      <c r="B18" s="0" t="s">
        <v>279</v>
      </c>
    </row>
    <row r="19" customFormat="false" ht="15.05" hidden="false" customHeight="false" outlineLevel="0" collapsed="false">
      <c r="B19" s="0" t="s">
        <v>280</v>
      </c>
    </row>
    <row r="22" customFormat="false" ht="94.6" hidden="false" customHeight="true" outlineLevel="0" collapsed="false">
      <c r="B22" s="11" t="str">
        <f aca="false">"Paiement de frais de déplacement intérieur
lors de l'approvisionnement de fonds à "&amp;SAISIE!B11&amp;"
a/n de "&amp;SAISIE!B19&amp;"
au titre du mois de (d') "&amp;SAISIE!B12&amp;"
Poste Comptable : "&amp;SAISIE!B5</f>
        <v>Paiement de frais de déplacement intérieur
lors de l'approvisionnement de fonds à 
a/n de ANDRIAMIALISON Johany Michael
au titre du mois de (d') Mai à Août 2026
Poste Comptable : PP Marovoay</v>
      </c>
      <c r="C22" s="11"/>
      <c r="D22" s="11"/>
      <c r="E22" s="11"/>
      <c r="F22" s="11"/>
    </row>
    <row r="24" customFormat="false" ht="93.8" hidden="false" customHeight="true" outlineLevel="0" collapsed="false">
      <c r="B24" s="11" t="str">
        <f aca="false">"Paiement d'indemnité(s) de mission intérieure de garde permanente
a/n de "&amp;SAISIE!B19&amp;"
au titre du mois de (d') "&amp;SAISIE!B12&amp;"
auprès de la "&amp;SAISIE!B5</f>
        <v>Paiement d'indemnité(s) de mission intérieure de garde permanente
a/n de ANDRIAMIALISON Johany Michael
au titre du mois de (d') Mai à Août 2026
auprès de la PP Marovoay</v>
      </c>
      <c r="C24" s="11"/>
      <c r="D24" s="11"/>
      <c r="E24" s="11"/>
      <c r="F24" s="11"/>
    </row>
    <row r="26" customFormat="false" ht="15.05" hidden="false" customHeight="false" outlineLevel="0" collapsed="false">
      <c r="B26" s="12" t="str">
        <f aca="false">"Paiement d'indemnité(s) de mission intérieure
lors de l'approvisionnement de fonds à "&amp;SAISIE!B11&amp;"
a/n de "&amp;SAISIE!B19&amp;"
au titre du mois de (d') "&amp;SAISIE!B12&amp;"
Poste Comptable : "&amp;SAISIE!B5</f>
        <v>Paiement d'indemnité(s) de mission intérieure
lors de l'approvisionnement de fonds à 
a/n de ANDRIAMIALISON Johany Michael
au titre du mois de (d') Mai à Août 2026
Poste Comptable : PP Marovoay</v>
      </c>
      <c r="C26" s="12"/>
      <c r="D26" s="12"/>
      <c r="E26" s="12"/>
      <c r="F26" s="12"/>
    </row>
    <row r="27" customFormat="false" ht="15.05" hidden="false" customHeight="false" outlineLevel="0" collapsed="false">
      <c r="B27" s="12"/>
      <c r="C27" s="12"/>
      <c r="D27" s="12"/>
      <c r="E27" s="12"/>
      <c r="F27" s="12"/>
    </row>
    <row r="28" customFormat="false" ht="73.5" hidden="false" customHeight="true" outlineLevel="0" collapsed="false">
      <c r="B28" s="12"/>
      <c r="C28" s="12"/>
      <c r="D28" s="12"/>
      <c r="E28" s="12"/>
      <c r="F28" s="12"/>
    </row>
  </sheetData>
  <sheetProtection sheet="true" password="d409" objects="true" scenarios="true"/>
  <mergeCells count="3">
    <mergeCell ref="B22:F22"/>
    <mergeCell ref="B24:F24"/>
    <mergeCell ref="B26:F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1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2" activeCellId="0" sqref="B12"/>
    </sheetView>
  </sheetViews>
  <sheetFormatPr defaultColWidth="9.1015625" defaultRowHeight="15.05" zeroHeight="false" outlineLevelRow="0" outlineLevelCol="0"/>
  <cols>
    <col collapsed="false" customWidth="true" hidden="false" outlineLevel="0" max="1" min="1" style="13" width="40.54"/>
    <col collapsed="false" customWidth="true" hidden="false" outlineLevel="0" max="2" min="2" style="14" width="65.64"/>
    <col collapsed="false" customWidth="true" hidden="false" outlineLevel="0" max="3" min="3" style="15" width="64.31"/>
    <col collapsed="false" customWidth="true" hidden="false" outlineLevel="0" max="4" min="4" style="16" width="20.87"/>
    <col collapsed="false" customWidth="false" hidden="false" outlineLevel="0" max="11" min="5" style="16" width="9.1"/>
    <col collapsed="false" customWidth="true" hidden="false" outlineLevel="0" max="12" min="12" style="16" width="21.99"/>
    <col collapsed="false" customWidth="true" hidden="false" outlineLevel="0" max="13" min="13" style="16" width="43.31"/>
    <col collapsed="false" customWidth="true" hidden="false" outlineLevel="0" max="14" min="14" style="16" width="9.66"/>
    <col collapsed="false" customWidth="true" hidden="false" outlineLevel="0" max="15" min="15" style="16" width="5.99"/>
    <col collapsed="false" customWidth="true" hidden="false" outlineLevel="0" max="16" min="16" style="16" width="25.09"/>
    <col collapsed="false" customWidth="true" hidden="false" outlineLevel="0" max="17" min="17" style="16" width="5.99"/>
    <col collapsed="false" customWidth="false" hidden="false" outlineLevel="0" max="257" min="18" style="16" width="9.1"/>
  </cols>
  <sheetData>
    <row r="1" customFormat="false" ht="15.05" hidden="false" customHeight="true" outlineLevel="0" collapsed="false">
      <c r="A1" s="17" t="s">
        <v>281</v>
      </c>
      <c r="B1" s="17"/>
      <c r="L1" s="0" t="s">
        <v>266</v>
      </c>
      <c r="M1" s="0" t="s">
        <v>267</v>
      </c>
      <c r="N1" s="0" t="s">
        <v>268</v>
      </c>
      <c r="O1" s="1" t="s">
        <v>0</v>
      </c>
      <c r="P1" s="2" t="s">
        <v>1</v>
      </c>
      <c r="Q1" s="1" t="s">
        <v>0</v>
      </c>
    </row>
    <row r="2" customFormat="false" ht="15.05" hidden="false" customHeight="false" outlineLevel="0" collapsed="false">
      <c r="A2" s="18" t="s">
        <v>266</v>
      </c>
      <c r="B2" s="19" t="s">
        <v>267</v>
      </c>
      <c r="C2" s="20" t="s">
        <v>282</v>
      </c>
      <c r="L2" s="0"/>
      <c r="M2" s="0" t="s">
        <v>269</v>
      </c>
      <c r="N2" s="0" t="s">
        <v>270</v>
      </c>
      <c r="O2" s="3" t="s">
        <v>6</v>
      </c>
      <c r="P2" s="4" t="s">
        <v>7</v>
      </c>
      <c r="Q2" s="3" t="s">
        <v>6</v>
      </c>
    </row>
    <row r="3" customFormat="false" ht="15.05" hidden="false" customHeight="false" outlineLevel="0" collapsed="false">
      <c r="M3" s="0" t="s">
        <v>271</v>
      </c>
      <c r="N3" s="0" t="s">
        <v>272</v>
      </c>
      <c r="O3" s="3" t="s">
        <v>8</v>
      </c>
      <c r="P3" s="4" t="s">
        <v>9</v>
      </c>
      <c r="Q3" s="3" t="s">
        <v>8</v>
      </c>
    </row>
    <row r="4" customFormat="false" ht="15.05" hidden="false" customHeight="false" outlineLevel="0" collapsed="false">
      <c r="A4" s="18" t="s">
        <v>283</v>
      </c>
      <c r="B4" s="21" t="s">
        <v>60</v>
      </c>
      <c r="C4" s="20" t="s">
        <v>282</v>
      </c>
      <c r="O4" s="3" t="s">
        <v>10</v>
      </c>
      <c r="P4" s="4" t="s">
        <v>11</v>
      </c>
      <c r="Q4" s="3" t="s">
        <v>10</v>
      </c>
    </row>
    <row r="5" customFormat="false" ht="15.05" hidden="false" customHeight="false" outlineLevel="0" collapsed="false">
      <c r="A5" s="18" t="s">
        <v>284</v>
      </c>
      <c r="B5" s="22" t="str">
        <f aca="false">IF(B4="","",VLOOKUP(B4,'CODE PC'!A2:B129,2,FALSE()))</f>
        <v>PP Marovoay</v>
      </c>
      <c r="O5" s="3" t="s">
        <v>12</v>
      </c>
      <c r="P5" s="4" t="s">
        <v>13</v>
      </c>
      <c r="Q5" s="3" t="s">
        <v>12</v>
      </c>
    </row>
    <row r="6" customFormat="false" ht="15.05" hidden="false" customHeight="false" outlineLevel="0" collapsed="false">
      <c r="A6" s="18" t="s">
        <v>285</v>
      </c>
      <c r="B6" s="21" t="s">
        <v>58</v>
      </c>
      <c r="O6" s="3" t="s">
        <v>14</v>
      </c>
      <c r="P6" s="4" t="s">
        <v>15</v>
      </c>
      <c r="Q6" s="3" t="s">
        <v>14</v>
      </c>
    </row>
    <row r="7" customFormat="false" ht="15.05" hidden="false" customHeight="false" outlineLevel="0" collapsed="false">
      <c r="A7" s="18" t="s">
        <v>286</v>
      </c>
      <c r="B7" s="23" t="str">
        <f aca="false">IF(B2="","",IF(SAISIE!B2=DONNEES!B8,DONNEES!B4,IF(SAISIE!B2=DONNEES!B9,DONNEES!B5,DONNEES!B5)))</f>
        <v>ASSURER LES GARDES PERMANENTES DES POSTES COMPTABLES</v>
      </c>
      <c r="D7" s="24"/>
      <c r="O7" s="3" t="s">
        <v>16</v>
      </c>
      <c r="P7" s="4" t="s">
        <v>17</v>
      </c>
      <c r="Q7" s="3" t="s">
        <v>16</v>
      </c>
    </row>
    <row r="8" customFormat="false" ht="15.05" hidden="false" customHeight="false" outlineLevel="0" collapsed="false">
      <c r="A8" s="18" t="s">
        <v>287</v>
      </c>
      <c r="B8" s="22" t="str">
        <f aca="false">IF(B7="","",VLOOKUP(B7,DONNEES!B4:C5,2,FALSE()))</f>
        <v>117-1-1-1-01</v>
      </c>
      <c r="O8" s="3" t="s">
        <v>18</v>
      </c>
      <c r="P8" s="4" t="s">
        <v>19</v>
      </c>
      <c r="Q8" s="3" t="s">
        <v>18</v>
      </c>
    </row>
    <row r="9" customFormat="false" ht="15.05" hidden="false" customHeight="false" outlineLevel="0" collapsed="false">
      <c r="A9" s="18" t="s">
        <v>258</v>
      </c>
      <c r="B9" s="22" t="str">
        <f aca="false">IF(B2="","",IF(B2=DONNEES!B8,DONNEES!B2,IF(SAISIE!B2=DONNEES!B9,DONNEES!B2,DONNEES!B1)))</f>
        <v>6241 Indemnités de mission intérieure</v>
      </c>
      <c r="O9" s="3" t="s">
        <v>20</v>
      </c>
      <c r="P9" s="4" t="s">
        <v>21</v>
      </c>
      <c r="Q9" s="3" t="n">
        <v>10</v>
      </c>
    </row>
    <row r="10" customFormat="false" ht="15.05" hidden="false" customHeight="false" outlineLevel="0" collapsed="false">
      <c r="O10" s="3" t="s">
        <v>22</v>
      </c>
      <c r="P10" s="4" t="s">
        <v>23</v>
      </c>
      <c r="Q10" s="3" t="n">
        <v>11</v>
      </c>
    </row>
    <row r="11" customFormat="false" ht="15.05" hidden="false" customHeight="false" outlineLevel="0" collapsed="false">
      <c r="A11" s="18" t="str">
        <f aca="false">IF(OR(B2=DONNEES!B9,B2=DONNEES!B10),"LIEU DE L'APPROVISIONNEMENT DE FONDS","NE PAS COMPLETER")</f>
        <v>NE PAS COMPLETER</v>
      </c>
      <c r="B11" s="25"/>
      <c r="O11" s="3" t="s">
        <v>26</v>
      </c>
      <c r="P11" s="4" t="s">
        <v>27</v>
      </c>
      <c r="Q11" s="3" t="s">
        <v>26</v>
      </c>
    </row>
    <row r="12" customFormat="false" ht="15.05" hidden="false" customHeight="false" outlineLevel="0" collapsed="false">
      <c r="A12" s="18" t="str">
        <f aca="false">IF(OR(B2=DONNEES!B9,B2=DONNEES!B10),"MOIS DE L'APPROVISIONNEMENT DE FONDS","MOIS DE LA GARDE")</f>
        <v>MOIS DE LA GARDE</v>
      </c>
      <c r="B12" s="21" t="s">
        <v>288</v>
      </c>
      <c r="O12" s="3" t="s">
        <v>28</v>
      </c>
      <c r="P12" s="4" t="s">
        <v>29</v>
      </c>
      <c r="Q12" s="3" t="s">
        <v>28</v>
      </c>
    </row>
    <row r="13" customFormat="false" ht="15.05" hidden="false" customHeight="false" outlineLevel="0" collapsed="false">
      <c r="O13" s="3" t="s">
        <v>30</v>
      </c>
      <c r="P13" s="4" t="s">
        <v>31</v>
      </c>
      <c r="Q13" s="3" t="s">
        <v>30</v>
      </c>
    </row>
    <row r="14" customFormat="false" ht="15.05" hidden="false" customHeight="false" outlineLevel="0" collapsed="false">
      <c r="O14" s="3" t="s">
        <v>32</v>
      </c>
      <c r="P14" s="4" t="s">
        <v>33</v>
      </c>
      <c r="Q14" s="3" t="s">
        <v>32</v>
      </c>
    </row>
    <row r="15" customFormat="false" ht="15.05" hidden="false" customHeight="false" outlineLevel="0" collapsed="false">
      <c r="A15" s="18" t="s">
        <v>289</v>
      </c>
      <c r="B15" s="26" t="n">
        <v>330000</v>
      </c>
      <c r="O15" s="3" t="s">
        <v>34</v>
      </c>
      <c r="P15" s="4" t="s">
        <v>35</v>
      </c>
      <c r="Q15" s="3" t="s">
        <v>34</v>
      </c>
    </row>
    <row r="16" customFormat="false" ht="37.5" hidden="false" customHeight="true" outlineLevel="0" collapsed="false">
      <c r="A16" s="27" t="s">
        <v>290</v>
      </c>
      <c r="B16" s="28" t="e">
        <f aca="false">chiffrelettre(B15)</f>
        <v>#VALUE!</v>
      </c>
      <c r="O16" s="3" t="s">
        <v>36</v>
      </c>
      <c r="P16" s="4" t="s">
        <v>37</v>
      </c>
      <c r="Q16" s="3" t="s">
        <v>36</v>
      </c>
    </row>
    <row r="17" customFormat="false" ht="15.05" hidden="false" customHeight="false" outlineLevel="0" collapsed="false">
      <c r="O17" s="3" t="s">
        <v>38</v>
      </c>
      <c r="P17" s="4" t="s">
        <v>39</v>
      </c>
      <c r="Q17" s="3" t="s">
        <v>38</v>
      </c>
    </row>
    <row r="18" customFormat="false" ht="15.05" hidden="false" customHeight="false" outlineLevel="0" collapsed="false">
      <c r="B18" s="18" t="s">
        <v>291</v>
      </c>
      <c r="O18" s="3" t="s">
        <v>40</v>
      </c>
      <c r="P18" s="4" t="s">
        <v>41</v>
      </c>
      <c r="Q18" s="3" t="s">
        <v>40</v>
      </c>
    </row>
    <row r="19" customFormat="false" ht="15.05" hidden="false" customHeight="false" outlineLevel="0" collapsed="false">
      <c r="A19" s="18" t="s">
        <v>292</v>
      </c>
      <c r="B19" s="25" t="s">
        <v>293</v>
      </c>
      <c r="O19" s="3" t="s">
        <v>42</v>
      </c>
      <c r="P19" s="4" t="s">
        <v>43</v>
      </c>
      <c r="Q19" s="3" t="s">
        <v>42</v>
      </c>
    </row>
    <row r="20" customFormat="false" ht="15.05" hidden="false" customHeight="false" outlineLevel="0" collapsed="false">
      <c r="A20" s="18" t="s">
        <v>294</v>
      </c>
      <c r="B20" s="29" t="n">
        <v>357484</v>
      </c>
      <c r="C20" s="20" t="s">
        <v>295</v>
      </c>
      <c r="O20" s="3" t="s">
        <v>44</v>
      </c>
      <c r="P20" s="4" t="s">
        <v>45</v>
      </c>
      <c r="Q20" s="3" t="s">
        <v>44</v>
      </c>
    </row>
    <row r="21" customFormat="false" ht="15.05" hidden="false" customHeight="false" outlineLevel="0" collapsed="false">
      <c r="A21" s="18" t="s">
        <v>296</v>
      </c>
      <c r="B21" s="29" t="n">
        <v>101221096930</v>
      </c>
      <c r="C21" s="20"/>
      <c r="O21" s="3" t="s">
        <v>46</v>
      </c>
      <c r="P21" s="4" t="s">
        <v>47</v>
      </c>
      <c r="Q21" s="3" t="s">
        <v>46</v>
      </c>
    </row>
    <row r="22" customFormat="false" ht="15.05" hidden="false" customHeight="false" outlineLevel="0" collapsed="false">
      <c r="A22" s="18" t="s">
        <v>297</v>
      </c>
      <c r="B22" s="25" t="s">
        <v>298</v>
      </c>
      <c r="O22" s="3" t="s">
        <v>48</v>
      </c>
      <c r="P22" s="4" t="s">
        <v>49</v>
      </c>
      <c r="Q22" s="3" t="s">
        <v>48</v>
      </c>
    </row>
    <row r="23" customFormat="false" ht="15.05" hidden="false" customHeight="false" outlineLevel="0" collapsed="false">
      <c r="O23" s="3" t="s">
        <v>50</v>
      </c>
      <c r="P23" s="4" t="s">
        <v>51</v>
      </c>
      <c r="Q23" s="3" t="s">
        <v>50</v>
      </c>
    </row>
    <row r="24" customFormat="false" ht="15.05" hidden="false" customHeight="false" outlineLevel="0" collapsed="false">
      <c r="A24" s="18" t="s">
        <v>299</v>
      </c>
      <c r="B24" s="25" t="s">
        <v>300</v>
      </c>
      <c r="O24" s="3" t="s">
        <v>52</v>
      </c>
      <c r="P24" s="4" t="s">
        <v>53</v>
      </c>
      <c r="Q24" s="3" t="s">
        <v>52</v>
      </c>
    </row>
    <row r="25" customFormat="false" ht="15.05" hidden="false" customHeight="false" outlineLevel="0" collapsed="false">
      <c r="A25" s="18" t="s">
        <v>301</v>
      </c>
      <c r="B25" s="25" t="n">
        <v>2026</v>
      </c>
      <c r="D25" s="30"/>
      <c r="E25" s="30"/>
      <c r="F25" s="30"/>
      <c r="O25" s="3" t="s">
        <v>54</v>
      </c>
      <c r="P25" s="4" t="s">
        <v>55</v>
      </c>
      <c r="Q25" s="3" t="s">
        <v>54</v>
      </c>
    </row>
    <row r="26" customFormat="false" ht="15.05" hidden="false" customHeight="false" outlineLevel="0" collapsed="false">
      <c r="A26" s="18" t="s">
        <v>302</v>
      </c>
      <c r="B26" s="21" t="s">
        <v>303</v>
      </c>
      <c r="O26" s="3" t="s">
        <v>56</v>
      </c>
      <c r="P26" s="4" t="s">
        <v>57</v>
      </c>
      <c r="Q26" s="3" t="s">
        <v>56</v>
      </c>
    </row>
    <row r="27" customFormat="false" ht="15.05" hidden="false" customHeight="false" outlineLevel="0" collapsed="false">
      <c r="O27" s="3" t="s">
        <v>58</v>
      </c>
      <c r="P27" s="4" t="s">
        <v>59</v>
      </c>
      <c r="Q27" s="3" t="s">
        <v>58</v>
      </c>
    </row>
    <row r="28" customFormat="false" ht="102.8" hidden="false" customHeight="true" outlineLevel="0" collapsed="false">
      <c r="A28" s="31" t="s">
        <v>304</v>
      </c>
      <c r="B28" s="32" t="str">
        <f aca="false">IF(B2="","",IF(B2=DONNEES!B8,DONNEES!B24,IF(B2=DONNEES!B9,DONNEES!B26,DONNEES!B22)))</f>
        <v>Paiement d'indemnité(s) de mission intérieure de garde permanente
a/n de ANDRIAMIALISON Johany Michael
au titre du mois de (d') Mai à Août 2026
auprès de la PP Marovoay</v>
      </c>
      <c r="O28" s="3" t="s">
        <v>60</v>
      </c>
      <c r="P28" s="4" t="s">
        <v>61</v>
      </c>
      <c r="Q28" s="3" t="s">
        <v>60</v>
      </c>
    </row>
    <row r="29" customFormat="false" ht="15.05" hidden="false" customHeight="false" outlineLevel="0" collapsed="false">
      <c r="O29" s="3" t="s">
        <v>62</v>
      </c>
      <c r="P29" s="4" t="s">
        <v>63</v>
      </c>
      <c r="Q29" s="3" t="s">
        <v>62</v>
      </c>
    </row>
    <row r="30" customFormat="false" ht="15.05" hidden="false" customHeight="false" outlineLevel="0" collapsed="false">
      <c r="O30" s="3" t="s">
        <v>64</v>
      </c>
      <c r="P30" s="4" t="s">
        <v>65</v>
      </c>
      <c r="Q30" s="3" t="s">
        <v>64</v>
      </c>
    </row>
    <row r="31" customFormat="false" ht="15.05" hidden="false" customHeight="false" outlineLevel="0" collapsed="false">
      <c r="O31" s="3" t="s">
        <v>66</v>
      </c>
      <c r="P31" s="4" t="s">
        <v>67</v>
      </c>
      <c r="Q31" s="3" t="s">
        <v>66</v>
      </c>
    </row>
    <row r="32" customFormat="false" ht="15.05" hidden="false" customHeight="false" outlineLevel="0" collapsed="false">
      <c r="O32" s="3" t="s">
        <v>68</v>
      </c>
      <c r="P32" s="4" t="s">
        <v>69</v>
      </c>
      <c r="Q32" s="3" t="s">
        <v>68</v>
      </c>
    </row>
    <row r="33" customFormat="false" ht="15.05" hidden="false" customHeight="false" outlineLevel="0" collapsed="false">
      <c r="O33" s="3" t="s">
        <v>70</v>
      </c>
      <c r="P33" s="4" t="s">
        <v>71</v>
      </c>
      <c r="Q33" s="3" t="s">
        <v>70</v>
      </c>
    </row>
    <row r="34" customFormat="false" ht="15.05" hidden="false" customHeight="false" outlineLevel="0" collapsed="false">
      <c r="O34" s="3" t="s">
        <v>72</v>
      </c>
      <c r="P34" s="4" t="s">
        <v>73</v>
      </c>
      <c r="Q34" s="3" t="s">
        <v>72</v>
      </c>
    </row>
    <row r="35" customFormat="false" ht="15.05" hidden="false" customHeight="false" outlineLevel="0" collapsed="false">
      <c r="O35" s="3" t="s">
        <v>74</v>
      </c>
      <c r="P35" s="4" t="s">
        <v>75</v>
      </c>
      <c r="Q35" s="3" t="s">
        <v>74</v>
      </c>
    </row>
    <row r="36" customFormat="false" ht="15.05" hidden="false" customHeight="false" outlineLevel="0" collapsed="false">
      <c r="O36" s="3" t="s">
        <v>76</v>
      </c>
      <c r="P36" s="4" t="s">
        <v>77</v>
      </c>
      <c r="Q36" s="3" t="s">
        <v>76</v>
      </c>
    </row>
    <row r="37" customFormat="false" ht="15.05" hidden="false" customHeight="false" outlineLevel="0" collapsed="false">
      <c r="O37" s="3" t="s">
        <v>78</v>
      </c>
      <c r="P37" s="4" t="s">
        <v>79</v>
      </c>
      <c r="Q37" s="3" t="s">
        <v>78</v>
      </c>
    </row>
    <row r="38" customFormat="false" ht="15.05" hidden="false" customHeight="false" outlineLevel="0" collapsed="false">
      <c r="O38" s="3" t="s">
        <v>80</v>
      </c>
      <c r="P38" s="4" t="s">
        <v>81</v>
      </c>
      <c r="Q38" s="3" t="s">
        <v>80</v>
      </c>
    </row>
    <row r="39" customFormat="false" ht="15.05" hidden="false" customHeight="false" outlineLevel="0" collapsed="false">
      <c r="O39" s="3" t="s">
        <v>82</v>
      </c>
      <c r="P39" s="4" t="s">
        <v>83</v>
      </c>
      <c r="Q39" s="3" t="s">
        <v>82</v>
      </c>
    </row>
    <row r="40" customFormat="false" ht="15.05" hidden="false" customHeight="false" outlineLevel="0" collapsed="false">
      <c r="O40" s="3" t="s">
        <v>84</v>
      </c>
      <c r="P40" s="4" t="s">
        <v>85</v>
      </c>
      <c r="Q40" s="3" t="s">
        <v>84</v>
      </c>
    </row>
    <row r="41" customFormat="false" ht="15.05" hidden="false" customHeight="false" outlineLevel="0" collapsed="false">
      <c r="O41" s="3" t="s">
        <v>86</v>
      </c>
      <c r="P41" s="4" t="s">
        <v>87</v>
      </c>
      <c r="Q41" s="3" t="s">
        <v>86</v>
      </c>
    </row>
    <row r="42" customFormat="false" ht="15.05" hidden="false" customHeight="false" outlineLevel="0" collapsed="false">
      <c r="O42" s="3" t="s">
        <v>88</v>
      </c>
      <c r="P42" s="4" t="s">
        <v>89</v>
      </c>
      <c r="Q42" s="3" t="s">
        <v>88</v>
      </c>
    </row>
    <row r="43" customFormat="false" ht="15.05" hidden="false" customHeight="false" outlineLevel="0" collapsed="false">
      <c r="O43" s="3" t="s">
        <v>90</v>
      </c>
      <c r="P43" s="4" t="s">
        <v>91</v>
      </c>
      <c r="Q43" s="3" t="s">
        <v>90</v>
      </c>
    </row>
    <row r="44" customFormat="false" ht="15.05" hidden="false" customHeight="false" outlineLevel="0" collapsed="false">
      <c r="O44" s="3" t="s">
        <v>92</v>
      </c>
      <c r="P44" s="4" t="s">
        <v>93</v>
      </c>
      <c r="Q44" s="3" t="s">
        <v>92</v>
      </c>
    </row>
    <row r="45" customFormat="false" ht="15.05" hidden="false" customHeight="false" outlineLevel="0" collapsed="false">
      <c r="O45" s="3" t="s">
        <v>94</v>
      </c>
      <c r="P45" s="4" t="s">
        <v>95</v>
      </c>
      <c r="Q45" s="3" t="s">
        <v>94</v>
      </c>
    </row>
    <row r="46" customFormat="false" ht="15.05" hidden="false" customHeight="false" outlineLevel="0" collapsed="false">
      <c r="O46" s="3" t="s">
        <v>96</v>
      </c>
      <c r="P46" s="4" t="s">
        <v>97</v>
      </c>
      <c r="Q46" s="3" t="s">
        <v>96</v>
      </c>
    </row>
    <row r="47" customFormat="false" ht="15.05" hidden="false" customHeight="false" outlineLevel="0" collapsed="false">
      <c r="O47" s="3" t="s">
        <v>98</v>
      </c>
      <c r="P47" s="4" t="s">
        <v>99</v>
      </c>
      <c r="Q47" s="3" t="s">
        <v>98</v>
      </c>
    </row>
    <row r="48" customFormat="false" ht="15.05" hidden="false" customHeight="false" outlineLevel="0" collapsed="false">
      <c r="O48" s="3" t="s">
        <v>100</v>
      </c>
      <c r="P48" s="4" t="s">
        <v>101</v>
      </c>
      <c r="Q48" s="3" t="s">
        <v>100</v>
      </c>
    </row>
    <row r="49" customFormat="false" ht="15.05" hidden="false" customHeight="false" outlineLevel="0" collapsed="false">
      <c r="O49" s="3" t="s">
        <v>102</v>
      </c>
      <c r="P49" s="4" t="s">
        <v>103</v>
      </c>
      <c r="Q49" s="3" t="s">
        <v>102</v>
      </c>
    </row>
    <row r="50" customFormat="false" ht="15.05" hidden="false" customHeight="false" outlineLevel="0" collapsed="false">
      <c r="O50" s="3" t="s">
        <v>104</v>
      </c>
      <c r="P50" s="4" t="s">
        <v>105</v>
      </c>
      <c r="Q50" s="3" t="s">
        <v>104</v>
      </c>
    </row>
    <row r="51" customFormat="false" ht="15.05" hidden="false" customHeight="false" outlineLevel="0" collapsed="false">
      <c r="O51" s="3" t="s">
        <v>106</v>
      </c>
      <c r="P51" s="4" t="s">
        <v>107</v>
      </c>
      <c r="Q51" s="3" t="s">
        <v>106</v>
      </c>
    </row>
    <row r="52" customFormat="false" ht="15.05" hidden="false" customHeight="false" outlineLevel="0" collapsed="false">
      <c r="O52" s="3" t="s">
        <v>108</v>
      </c>
      <c r="P52" s="4" t="s">
        <v>109</v>
      </c>
      <c r="Q52" s="3" t="s">
        <v>108</v>
      </c>
    </row>
    <row r="53" customFormat="false" ht="15.05" hidden="false" customHeight="false" outlineLevel="0" collapsed="false">
      <c r="O53" s="3" t="s">
        <v>110</v>
      </c>
      <c r="P53" s="4" t="s">
        <v>111</v>
      </c>
      <c r="Q53" s="3" t="s">
        <v>110</v>
      </c>
    </row>
    <row r="54" customFormat="false" ht="15.05" hidden="false" customHeight="false" outlineLevel="0" collapsed="false">
      <c r="O54" s="3" t="s">
        <v>112</v>
      </c>
      <c r="P54" s="4" t="s">
        <v>113</v>
      </c>
      <c r="Q54" s="3" t="s">
        <v>112</v>
      </c>
    </row>
    <row r="55" customFormat="false" ht="15.05" hidden="false" customHeight="false" outlineLevel="0" collapsed="false">
      <c r="O55" s="3" t="s">
        <v>114</v>
      </c>
      <c r="P55" s="4" t="s">
        <v>115</v>
      </c>
      <c r="Q55" s="3" t="s">
        <v>114</v>
      </c>
    </row>
    <row r="56" customFormat="false" ht="15.05" hidden="false" customHeight="false" outlineLevel="0" collapsed="false">
      <c r="O56" s="3" t="s">
        <v>116</v>
      </c>
      <c r="P56" s="4" t="s">
        <v>117</v>
      </c>
      <c r="Q56" s="3" t="s">
        <v>116</v>
      </c>
    </row>
    <row r="57" customFormat="false" ht="15.05" hidden="false" customHeight="false" outlineLevel="0" collapsed="false">
      <c r="O57" s="3" t="s">
        <v>118</v>
      </c>
      <c r="P57" s="4" t="s">
        <v>119</v>
      </c>
      <c r="Q57" s="3" t="s">
        <v>118</v>
      </c>
    </row>
    <row r="58" customFormat="false" ht="15.05" hidden="false" customHeight="false" outlineLevel="0" collapsed="false">
      <c r="O58" s="3" t="s">
        <v>120</v>
      </c>
      <c r="P58" s="4" t="s">
        <v>121</v>
      </c>
      <c r="Q58" s="3" t="s">
        <v>120</v>
      </c>
    </row>
    <row r="59" customFormat="false" ht="15.05" hidden="false" customHeight="false" outlineLevel="0" collapsed="false">
      <c r="O59" s="3" t="s">
        <v>122</v>
      </c>
      <c r="P59" s="4" t="s">
        <v>123</v>
      </c>
      <c r="Q59" s="3" t="s">
        <v>122</v>
      </c>
    </row>
    <row r="60" customFormat="false" ht="15.05" hidden="false" customHeight="false" outlineLevel="0" collapsed="false">
      <c r="O60" s="3" t="s">
        <v>124</v>
      </c>
      <c r="P60" s="4" t="s">
        <v>125</v>
      </c>
      <c r="Q60" s="3" t="s">
        <v>124</v>
      </c>
    </row>
    <row r="61" customFormat="false" ht="15.05" hidden="false" customHeight="false" outlineLevel="0" collapsed="false">
      <c r="O61" s="3" t="s">
        <v>126</v>
      </c>
      <c r="P61" s="4" t="s">
        <v>127</v>
      </c>
      <c r="Q61" s="3" t="s">
        <v>126</v>
      </c>
    </row>
    <row r="62" customFormat="false" ht="15.05" hidden="false" customHeight="false" outlineLevel="0" collapsed="false">
      <c r="O62" s="3" t="s">
        <v>130</v>
      </c>
      <c r="P62" s="4" t="s">
        <v>131</v>
      </c>
      <c r="Q62" s="3" t="s">
        <v>130</v>
      </c>
    </row>
    <row r="63" customFormat="false" ht="15.05" hidden="false" customHeight="false" outlineLevel="0" collapsed="false">
      <c r="O63" s="3" t="s">
        <v>132</v>
      </c>
      <c r="P63" s="4" t="s">
        <v>133</v>
      </c>
      <c r="Q63" s="3" t="s">
        <v>132</v>
      </c>
    </row>
    <row r="64" customFormat="false" ht="15.05" hidden="false" customHeight="false" outlineLevel="0" collapsed="false">
      <c r="O64" s="3" t="s">
        <v>134</v>
      </c>
      <c r="P64" s="4" t="s">
        <v>135</v>
      </c>
      <c r="Q64" s="3" t="s">
        <v>134</v>
      </c>
    </row>
    <row r="65" customFormat="false" ht="15.05" hidden="false" customHeight="false" outlineLevel="0" collapsed="false">
      <c r="O65" s="3" t="s">
        <v>136</v>
      </c>
      <c r="P65" s="4" t="s">
        <v>137</v>
      </c>
      <c r="Q65" s="3" t="s">
        <v>136</v>
      </c>
    </row>
    <row r="66" customFormat="false" ht="15.05" hidden="false" customHeight="false" outlineLevel="0" collapsed="false">
      <c r="O66" s="3" t="s">
        <v>138</v>
      </c>
      <c r="P66" s="4" t="s">
        <v>139</v>
      </c>
      <c r="Q66" s="3" t="s">
        <v>138</v>
      </c>
    </row>
    <row r="67" customFormat="false" ht="15.05" hidden="false" customHeight="false" outlineLevel="0" collapsed="false">
      <c r="O67" s="3" t="s">
        <v>140</v>
      </c>
      <c r="P67" s="4" t="s">
        <v>141</v>
      </c>
      <c r="Q67" s="3" t="s">
        <v>140</v>
      </c>
    </row>
    <row r="68" customFormat="false" ht="15.05" hidden="false" customHeight="false" outlineLevel="0" collapsed="false">
      <c r="O68" s="3" t="s">
        <v>142</v>
      </c>
      <c r="P68" s="4" t="s">
        <v>143</v>
      </c>
      <c r="Q68" s="3" t="s">
        <v>142</v>
      </c>
    </row>
    <row r="69" customFormat="false" ht="15.05" hidden="false" customHeight="false" outlineLevel="0" collapsed="false">
      <c r="O69" s="3" t="s">
        <v>144</v>
      </c>
      <c r="P69" s="4" t="s">
        <v>145</v>
      </c>
      <c r="Q69" s="3" t="s">
        <v>144</v>
      </c>
    </row>
    <row r="70" customFormat="false" ht="15.05" hidden="false" customHeight="false" outlineLevel="0" collapsed="false">
      <c r="O70" s="3" t="s">
        <v>146</v>
      </c>
      <c r="P70" s="4" t="s">
        <v>147</v>
      </c>
      <c r="Q70" s="3" t="s">
        <v>146</v>
      </c>
    </row>
    <row r="71" customFormat="false" ht="15.05" hidden="false" customHeight="false" outlineLevel="0" collapsed="false">
      <c r="O71" s="3" t="s">
        <v>148</v>
      </c>
      <c r="P71" s="4" t="s">
        <v>149</v>
      </c>
      <c r="Q71" s="3" t="s">
        <v>148</v>
      </c>
    </row>
    <row r="72" customFormat="false" ht="15.05" hidden="false" customHeight="false" outlineLevel="0" collapsed="false">
      <c r="O72" s="3" t="s">
        <v>150</v>
      </c>
      <c r="P72" s="4" t="s">
        <v>151</v>
      </c>
      <c r="Q72" s="3" t="s">
        <v>150</v>
      </c>
    </row>
    <row r="73" customFormat="false" ht="15.05" hidden="false" customHeight="false" outlineLevel="0" collapsed="false">
      <c r="O73" s="3" t="s">
        <v>152</v>
      </c>
      <c r="P73" s="4" t="s">
        <v>153</v>
      </c>
      <c r="Q73" s="3" t="s">
        <v>152</v>
      </c>
    </row>
    <row r="74" customFormat="false" ht="15.05" hidden="false" customHeight="false" outlineLevel="0" collapsed="false">
      <c r="O74" s="3" t="s">
        <v>154</v>
      </c>
      <c r="P74" s="4" t="s">
        <v>155</v>
      </c>
      <c r="Q74" s="3" t="s">
        <v>154</v>
      </c>
    </row>
    <row r="75" customFormat="false" ht="15.05" hidden="false" customHeight="false" outlineLevel="0" collapsed="false">
      <c r="O75" s="3" t="s">
        <v>156</v>
      </c>
      <c r="P75" s="4" t="s">
        <v>157</v>
      </c>
      <c r="Q75" s="3" t="s">
        <v>156</v>
      </c>
    </row>
    <row r="76" customFormat="false" ht="15.05" hidden="false" customHeight="false" outlineLevel="0" collapsed="false">
      <c r="O76" s="3" t="s">
        <v>158</v>
      </c>
      <c r="P76" s="4" t="s">
        <v>159</v>
      </c>
      <c r="Q76" s="3" t="s">
        <v>158</v>
      </c>
    </row>
    <row r="77" customFormat="false" ht="15.05" hidden="false" customHeight="false" outlineLevel="0" collapsed="false">
      <c r="O77" s="3" t="s">
        <v>160</v>
      </c>
      <c r="P77" s="4" t="s">
        <v>161</v>
      </c>
      <c r="Q77" s="3" t="s">
        <v>160</v>
      </c>
    </row>
    <row r="78" customFormat="false" ht="15.05" hidden="false" customHeight="false" outlineLevel="0" collapsed="false">
      <c r="O78" s="3" t="s">
        <v>162</v>
      </c>
      <c r="P78" s="4" t="s">
        <v>163</v>
      </c>
      <c r="Q78" s="3" t="s">
        <v>162</v>
      </c>
    </row>
    <row r="79" customFormat="false" ht="15.05" hidden="false" customHeight="false" outlineLevel="0" collapsed="false">
      <c r="O79" s="3" t="s">
        <v>164</v>
      </c>
      <c r="P79" s="4" t="s">
        <v>165</v>
      </c>
      <c r="Q79" s="3" t="s">
        <v>164</v>
      </c>
    </row>
    <row r="80" customFormat="false" ht="15.05" hidden="false" customHeight="false" outlineLevel="0" collapsed="false">
      <c r="O80" s="3" t="s">
        <v>166</v>
      </c>
      <c r="P80" s="4" t="s">
        <v>167</v>
      </c>
      <c r="Q80" s="3" t="s">
        <v>166</v>
      </c>
    </row>
    <row r="81" customFormat="false" ht="15.05" hidden="false" customHeight="false" outlineLevel="0" collapsed="false">
      <c r="O81" s="3" t="s">
        <v>168</v>
      </c>
      <c r="P81" s="4" t="s">
        <v>169</v>
      </c>
      <c r="Q81" s="3" t="s">
        <v>168</v>
      </c>
    </row>
    <row r="82" customFormat="false" ht="15.05" hidden="false" customHeight="false" outlineLevel="0" collapsed="false">
      <c r="O82" s="3" t="s">
        <v>170</v>
      </c>
      <c r="P82" s="4" t="s">
        <v>171</v>
      </c>
      <c r="Q82" s="3" t="s">
        <v>170</v>
      </c>
    </row>
    <row r="83" customFormat="false" ht="15.05" hidden="false" customHeight="false" outlineLevel="0" collapsed="false">
      <c r="O83" s="3" t="s">
        <v>172</v>
      </c>
      <c r="P83" s="4" t="s">
        <v>173</v>
      </c>
      <c r="Q83" s="3" t="s">
        <v>172</v>
      </c>
    </row>
    <row r="84" customFormat="false" ht="15.05" hidden="false" customHeight="false" outlineLevel="0" collapsed="false">
      <c r="O84" s="3" t="s">
        <v>174</v>
      </c>
      <c r="P84" s="4" t="s">
        <v>175</v>
      </c>
      <c r="Q84" s="3" t="s">
        <v>174</v>
      </c>
    </row>
    <row r="85" customFormat="false" ht="15.05" hidden="false" customHeight="false" outlineLevel="0" collapsed="false">
      <c r="O85" s="3" t="s">
        <v>176</v>
      </c>
      <c r="P85" s="4" t="s">
        <v>177</v>
      </c>
      <c r="Q85" s="3" t="s">
        <v>176</v>
      </c>
    </row>
    <row r="86" customFormat="false" ht="15.05" hidden="false" customHeight="false" outlineLevel="0" collapsed="false">
      <c r="O86" s="3" t="s">
        <v>178</v>
      </c>
      <c r="P86" s="4" t="s">
        <v>179</v>
      </c>
      <c r="Q86" s="3" t="s">
        <v>178</v>
      </c>
    </row>
    <row r="87" customFormat="false" ht="15.05" hidden="false" customHeight="false" outlineLevel="0" collapsed="false">
      <c r="O87" s="3" t="s">
        <v>180</v>
      </c>
      <c r="P87" s="4" t="s">
        <v>181</v>
      </c>
      <c r="Q87" s="3" t="s">
        <v>180</v>
      </c>
    </row>
    <row r="88" customFormat="false" ht="15.05" hidden="false" customHeight="false" outlineLevel="0" collapsed="false">
      <c r="O88" s="3" t="s">
        <v>182</v>
      </c>
      <c r="P88" s="4" t="s">
        <v>183</v>
      </c>
      <c r="Q88" s="3" t="s">
        <v>182</v>
      </c>
    </row>
    <row r="89" customFormat="false" ht="15.05" hidden="false" customHeight="false" outlineLevel="0" collapsed="false">
      <c r="O89" s="3" t="s">
        <v>184</v>
      </c>
      <c r="P89" s="4" t="s">
        <v>185</v>
      </c>
      <c r="Q89" s="3" t="s">
        <v>184</v>
      </c>
    </row>
    <row r="90" customFormat="false" ht="15.05" hidden="false" customHeight="false" outlineLevel="0" collapsed="false">
      <c r="O90" s="3" t="s">
        <v>186</v>
      </c>
      <c r="P90" s="4" t="s">
        <v>187</v>
      </c>
      <c r="Q90" s="3" t="s">
        <v>186</v>
      </c>
    </row>
    <row r="91" customFormat="false" ht="15.05" hidden="false" customHeight="false" outlineLevel="0" collapsed="false">
      <c r="O91" s="3" t="s">
        <v>188</v>
      </c>
      <c r="P91" s="4" t="s">
        <v>189</v>
      </c>
      <c r="Q91" s="3" t="s">
        <v>188</v>
      </c>
    </row>
    <row r="92" customFormat="false" ht="15.05" hidden="false" customHeight="false" outlineLevel="0" collapsed="false">
      <c r="O92" s="3" t="s">
        <v>190</v>
      </c>
      <c r="P92" s="4" t="s">
        <v>191</v>
      </c>
      <c r="Q92" s="3" t="s">
        <v>190</v>
      </c>
    </row>
    <row r="93" customFormat="false" ht="15.05" hidden="false" customHeight="false" outlineLevel="0" collapsed="false">
      <c r="O93" s="3" t="s">
        <v>192</v>
      </c>
      <c r="P93" s="4" t="s">
        <v>193</v>
      </c>
      <c r="Q93" s="3" t="s">
        <v>192</v>
      </c>
    </row>
    <row r="94" customFormat="false" ht="15.05" hidden="false" customHeight="false" outlineLevel="0" collapsed="false">
      <c r="O94" s="3" t="s">
        <v>194</v>
      </c>
      <c r="P94" s="4" t="s">
        <v>195</v>
      </c>
      <c r="Q94" s="3" t="s">
        <v>194</v>
      </c>
    </row>
    <row r="95" customFormat="false" ht="15.05" hidden="false" customHeight="false" outlineLevel="0" collapsed="false">
      <c r="O95" s="3" t="s">
        <v>196</v>
      </c>
      <c r="P95" s="4" t="s">
        <v>197</v>
      </c>
      <c r="Q95" s="3" t="s">
        <v>196</v>
      </c>
    </row>
    <row r="96" customFormat="false" ht="15.05" hidden="false" customHeight="false" outlineLevel="0" collapsed="false">
      <c r="O96" s="3" t="s">
        <v>198</v>
      </c>
      <c r="P96" s="4" t="s">
        <v>199</v>
      </c>
      <c r="Q96" s="3" t="s">
        <v>198</v>
      </c>
    </row>
    <row r="97" customFormat="false" ht="15.05" hidden="false" customHeight="false" outlineLevel="0" collapsed="false">
      <c r="O97" s="3" t="s">
        <v>200</v>
      </c>
      <c r="P97" s="4" t="s">
        <v>201</v>
      </c>
      <c r="Q97" s="3" t="s">
        <v>200</v>
      </c>
    </row>
    <row r="98" customFormat="false" ht="15.05" hidden="false" customHeight="false" outlineLevel="0" collapsed="false">
      <c r="O98" s="3" t="s">
        <v>202</v>
      </c>
      <c r="P98" s="4" t="s">
        <v>203</v>
      </c>
      <c r="Q98" s="3" t="s">
        <v>202</v>
      </c>
    </row>
    <row r="99" customFormat="false" ht="15.05" hidden="false" customHeight="false" outlineLevel="0" collapsed="false">
      <c r="O99" s="3" t="s">
        <v>204</v>
      </c>
      <c r="P99" s="4" t="s">
        <v>205</v>
      </c>
      <c r="Q99" s="3" t="s">
        <v>204</v>
      </c>
    </row>
    <row r="100" customFormat="false" ht="15.05" hidden="false" customHeight="false" outlineLevel="0" collapsed="false">
      <c r="O100" s="3" t="s">
        <v>206</v>
      </c>
      <c r="P100" s="4" t="s">
        <v>207</v>
      </c>
      <c r="Q100" s="3" t="s">
        <v>206</v>
      </c>
    </row>
    <row r="101" customFormat="false" ht="15.05" hidden="false" customHeight="false" outlineLevel="0" collapsed="false">
      <c r="O101" s="3" t="s">
        <v>208</v>
      </c>
      <c r="P101" s="4" t="s">
        <v>209</v>
      </c>
      <c r="Q101" s="3" t="s">
        <v>208</v>
      </c>
    </row>
    <row r="102" customFormat="false" ht="15.05" hidden="false" customHeight="false" outlineLevel="0" collapsed="false">
      <c r="O102" s="3" t="s">
        <v>210</v>
      </c>
      <c r="P102" s="4" t="s">
        <v>211</v>
      </c>
      <c r="Q102" s="3" t="s">
        <v>210</v>
      </c>
    </row>
    <row r="103" customFormat="false" ht="15.05" hidden="false" customHeight="false" outlineLevel="0" collapsed="false">
      <c r="O103" s="3" t="s">
        <v>212</v>
      </c>
      <c r="P103" s="4" t="s">
        <v>213</v>
      </c>
      <c r="Q103" s="3" t="s">
        <v>212</v>
      </c>
    </row>
    <row r="104" customFormat="false" ht="15.05" hidden="false" customHeight="false" outlineLevel="0" collapsed="false">
      <c r="O104" s="3" t="s">
        <v>214</v>
      </c>
      <c r="P104" s="4" t="s">
        <v>215</v>
      </c>
      <c r="Q104" s="3" t="s">
        <v>214</v>
      </c>
    </row>
    <row r="105" customFormat="false" ht="15.05" hidden="false" customHeight="false" outlineLevel="0" collapsed="false">
      <c r="O105" s="3" t="s">
        <v>216</v>
      </c>
      <c r="P105" s="4" t="s">
        <v>217</v>
      </c>
      <c r="Q105" s="3" t="s">
        <v>216</v>
      </c>
    </row>
    <row r="106" customFormat="false" ht="15.05" hidden="false" customHeight="false" outlineLevel="0" collapsed="false">
      <c r="O106" s="3" t="s">
        <v>218</v>
      </c>
      <c r="P106" s="4" t="s">
        <v>219</v>
      </c>
      <c r="Q106" s="3" t="s">
        <v>218</v>
      </c>
    </row>
    <row r="107" customFormat="false" ht="15.05" hidden="false" customHeight="false" outlineLevel="0" collapsed="false">
      <c r="O107" s="3" t="s">
        <v>220</v>
      </c>
      <c r="P107" s="4" t="s">
        <v>221</v>
      </c>
      <c r="Q107" s="3" t="s">
        <v>220</v>
      </c>
    </row>
    <row r="108" customFormat="false" ht="15.05" hidden="false" customHeight="false" outlineLevel="0" collapsed="false">
      <c r="O108" s="3" t="s">
        <v>222</v>
      </c>
      <c r="P108" s="4" t="s">
        <v>223</v>
      </c>
      <c r="Q108" s="3" t="s">
        <v>222</v>
      </c>
    </row>
    <row r="109" customFormat="false" ht="15.05" hidden="false" customHeight="false" outlineLevel="0" collapsed="false">
      <c r="O109" s="3" t="s">
        <v>224</v>
      </c>
      <c r="P109" s="4" t="s">
        <v>225</v>
      </c>
      <c r="Q109" s="3" t="s">
        <v>224</v>
      </c>
    </row>
    <row r="110" customFormat="false" ht="15.05" hidden="false" customHeight="false" outlineLevel="0" collapsed="false">
      <c r="O110" s="3" t="s">
        <v>228</v>
      </c>
      <c r="P110" s="4" t="s">
        <v>229</v>
      </c>
      <c r="Q110" s="3" t="s">
        <v>228</v>
      </c>
    </row>
    <row r="111" customFormat="false" ht="15.05" hidden="false" customHeight="false" outlineLevel="0" collapsed="false">
      <c r="O111" s="3" t="s">
        <v>230</v>
      </c>
      <c r="P111" s="4" t="s">
        <v>231</v>
      </c>
      <c r="Q111" s="3" t="s">
        <v>230</v>
      </c>
    </row>
    <row r="112" customFormat="false" ht="15.05" hidden="false" customHeight="false" outlineLevel="0" collapsed="false">
      <c r="O112" s="3" t="s">
        <v>232</v>
      </c>
      <c r="P112" s="4" t="s">
        <v>233</v>
      </c>
      <c r="Q112" s="3" t="s">
        <v>232</v>
      </c>
    </row>
    <row r="113" customFormat="false" ht="15.05" hidden="false" customHeight="false" outlineLevel="0" collapsed="false">
      <c r="O113" s="3" t="s">
        <v>234</v>
      </c>
      <c r="P113" s="4" t="s">
        <v>235</v>
      </c>
      <c r="Q113" s="3" t="s">
        <v>234</v>
      </c>
    </row>
    <row r="114" customFormat="false" ht="15.05" hidden="false" customHeight="false" outlineLevel="0" collapsed="false">
      <c r="O114" s="3" t="s">
        <v>236</v>
      </c>
      <c r="P114" s="4" t="s">
        <v>237</v>
      </c>
      <c r="Q114" s="3" t="s">
        <v>236</v>
      </c>
    </row>
    <row r="115" customFormat="false" ht="15.05" hidden="false" customHeight="false" outlineLevel="0" collapsed="false">
      <c r="O115" s="3" t="s">
        <v>238</v>
      </c>
      <c r="P115" s="4" t="s">
        <v>239</v>
      </c>
      <c r="Q115" s="3" t="s">
        <v>238</v>
      </c>
    </row>
    <row r="116" customFormat="false" ht="15.05" hidden="false" customHeight="false" outlineLevel="0" collapsed="false">
      <c r="O116" s="3" t="s">
        <v>240</v>
      </c>
      <c r="P116" s="4" t="s">
        <v>241</v>
      </c>
      <c r="Q116" s="3" t="s">
        <v>240</v>
      </c>
    </row>
    <row r="117" customFormat="false" ht="15.05" hidden="false" customHeight="false" outlineLevel="0" collapsed="false">
      <c r="O117" s="3" t="s">
        <v>248</v>
      </c>
      <c r="P117" s="4" t="s">
        <v>249</v>
      </c>
      <c r="Q117" s="3" t="s">
        <v>248</v>
      </c>
    </row>
    <row r="118" customFormat="false" ht="15.05" hidden="false" customHeight="false" outlineLevel="0" collapsed="false">
      <c r="O118" s="3" t="n">
        <v>126</v>
      </c>
      <c r="P118" s="4" t="s">
        <v>253</v>
      </c>
      <c r="Q118" s="3" t="n">
        <v>126</v>
      </c>
    </row>
    <row r="119" customFormat="false" ht="15.05" hidden="false" customHeight="false" outlineLevel="0" collapsed="false">
      <c r="O119" s="3" t="n">
        <v>128</v>
      </c>
      <c r="P119" s="4" t="s">
        <v>257</v>
      </c>
      <c r="Q119" s="3" t="n">
        <v>128</v>
      </c>
    </row>
  </sheetData>
  <mergeCells count="2">
    <mergeCell ref="A1:B1"/>
    <mergeCell ref="D25:F25"/>
  </mergeCells>
  <conditionalFormatting sqref="B6 B11:B12 B15 B2 B4 B24:B26 B19:B22">
    <cfRule type="expression" priority="2" aboveAverage="0" equalAverage="0" bottom="0" percent="0" rank="0" text="" dxfId="0">
      <formula>LEN(TRIM(B6))&gt;0</formula>
    </cfRule>
  </conditionalFormatting>
  <dataValidations count="2">
    <dataValidation allowBlank="true" errorStyle="stop" operator="between" showDropDown="false" showErrorMessage="true" showInputMessage="false" sqref="B2" type="list">
      <formula1>$M$1:$M$3</formula1>
      <formula2>0</formula2>
    </dataValidation>
    <dataValidation allowBlank="true" errorStyle="stop" operator="between" showDropDown="false" showErrorMessage="true" showInputMessage="false" sqref="B4" type="list">
      <formula1>$O$2:$O$119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R23" activeCellId="0" sqref="R23"/>
    </sheetView>
  </sheetViews>
  <sheetFormatPr defaultColWidth="9.1015625" defaultRowHeight="14.4" zeroHeight="false" outlineLevelRow="0" outlineLevelCol="0"/>
  <cols>
    <col collapsed="false" customWidth="true" hidden="false" outlineLevel="0" max="1" min="1" style="33" width="25.32"/>
    <col collapsed="false" customWidth="true" hidden="false" outlineLevel="0" max="2" min="2" style="33" width="12.43"/>
    <col collapsed="false" customWidth="true" hidden="false" outlineLevel="0" max="3" min="3" style="33" width="13.99"/>
    <col collapsed="false" customWidth="true" hidden="false" outlineLevel="0" max="4" min="4" style="33" width="11.55"/>
    <col collapsed="false" customWidth="true" hidden="false" outlineLevel="0" max="5" min="5" style="33" width="10.32"/>
    <col collapsed="false" customWidth="true" hidden="false" outlineLevel="0" max="6" min="6" style="33" width="14.43"/>
    <col collapsed="false" customWidth="true" hidden="false" outlineLevel="0" max="7" min="7" style="33" width="11.87"/>
    <col collapsed="false" customWidth="true" hidden="false" outlineLevel="0" max="8" min="8" style="33" width="9.99"/>
    <col collapsed="false" customWidth="true" hidden="false" outlineLevel="0" max="9" min="9" style="33" width="8.88"/>
    <col collapsed="false" customWidth="true" hidden="false" outlineLevel="0" max="10" min="10" style="33" width="32.09"/>
    <col collapsed="false" customWidth="false" hidden="false" outlineLevel="0" max="257" min="11" style="33" width="9.1"/>
  </cols>
  <sheetData>
    <row r="1" customFormat="false" ht="14.4" hidden="false" customHeight="false" outlineLevel="0" collapsed="false">
      <c r="J1" s="34"/>
    </row>
    <row r="2" customFormat="false" ht="20.95" hidden="false" customHeight="true" outlineLevel="0" collapsed="false">
      <c r="A2" s="35" t="s">
        <v>305</v>
      </c>
      <c r="B2" s="36" t="s">
        <v>306</v>
      </c>
      <c r="C2" s="36"/>
      <c r="D2" s="37" t="s">
        <v>307</v>
      </c>
      <c r="E2" s="37"/>
      <c r="F2" s="37"/>
      <c r="G2" s="37"/>
      <c r="H2" s="38" t="s">
        <v>308</v>
      </c>
      <c r="I2" s="38"/>
      <c r="J2" s="38"/>
    </row>
    <row r="3" customFormat="false" ht="20.95" hidden="false" customHeight="true" outlineLevel="0" collapsed="false">
      <c r="A3" s="35" t="s">
        <v>309</v>
      </c>
      <c r="B3" s="39" t="s">
        <v>310</v>
      </c>
      <c r="C3" s="39"/>
      <c r="D3" s="35" t="s">
        <v>311</v>
      </c>
      <c r="E3" s="39" t="n">
        <v>220</v>
      </c>
      <c r="F3" s="35" t="s">
        <v>312</v>
      </c>
      <c r="G3" s="39" t="n">
        <f aca="false">IF(SAISIE!B25&lt;&gt;"",SAISIE!B25,"")</f>
        <v>2026</v>
      </c>
      <c r="H3" s="38"/>
      <c r="I3" s="38"/>
      <c r="J3" s="38"/>
    </row>
    <row r="4" customFormat="false" ht="20.95" hidden="false" customHeight="true" outlineLevel="0" collapsed="false">
      <c r="A4" s="40" t="s">
        <v>313</v>
      </c>
      <c r="B4" s="41" t="s">
        <v>314</v>
      </c>
      <c r="C4" s="41"/>
      <c r="D4" s="35" t="s">
        <v>315</v>
      </c>
      <c r="E4" s="42" t="s">
        <v>316</v>
      </c>
      <c r="F4" s="35" t="s">
        <v>317</v>
      </c>
      <c r="G4" s="39" t="n">
        <v>3</v>
      </c>
      <c r="H4" s="38"/>
      <c r="I4" s="38"/>
      <c r="J4" s="38"/>
    </row>
    <row r="5" customFormat="false" ht="20.95" hidden="false" customHeight="true" outlineLevel="0" collapsed="false">
      <c r="A5" s="40"/>
      <c r="B5" s="41"/>
      <c r="C5" s="41"/>
      <c r="D5" s="43" t="s">
        <v>318</v>
      </c>
      <c r="E5" s="43"/>
      <c r="F5" s="43"/>
      <c r="G5" s="43"/>
      <c r="H5" s="38"/>
      <c r="I5" s="38"/>
      <c r="J5" s="38"/>
    </row>
    <row r="6" customFormat="false" ht="20.95" hidden="false" customHeight="true" outlineLevel="0" collapsed="false">
      <c r="A6" s="35" t="s">
        <v>319</v>
      </c>
      <c r="B6" s="44" t="s">
        <v>320</v>
      </c>
      <c r="C6" s="44"/>
      <c r="D6" s="43"/>
      <c r="E6" s="43"/>
      <c r="F6" s="43"/>
      <c r="G6" s="43"/>
      <c r="H6" s="45" t="s">
        <v>321</v>
      </c>
      <c r="I6" s="46" t="str">
        <f aca="false">SAISIE!B25&amp;" / "&amp;SAISIE!B4&amp;" / "&amp;SAISIE!B6</f>
        <v>2026 / 030 / 029</v>
      </c>
      <c r="J6" s="46"/>
    </row>
    <row r="7" customFormat="false" ht="30.8" hidden="false" customHeight="true" outlineLevel="0" collapsed="false">
      <c r="A7" s="35" t="s">
        <v>322</v>
      </c>
      <c r="B7" s="39" t="s">
        <v>323</v>
      </c>
      <c r="C7" s="39"/>
      <c r="D7" s="47" t="s">
        <v>324</v>
      </c>
      <c r="E7" s="47"/>
      <c r="F7" s="47"/>
      <c r="G7" s="47"/>
      <c r="H7" s="45"/>
      <c r="I7" s="46"/>
      <c r="J7" s="46"/>
    </row>
    <row r="8" customFormat="false" ht="3.8" hidden="false" customHeight="true" outlineLevel="0" collapsed="false">
      <c r="A8" s="48"/>
      <c r="B8" s="48"/>
      <c r="C8" s="48"/>
      <c r="D8" s="48"/>
      <c r="E8" s="48"/>
      <c r="F8" s="48"/>
      <c r="G8" s="48"/>
      <c r="H8" s="48"/>
      <c r="I8" s="48"/>
      <c r="J8" s="48"/>
    </row>
    <row r="9" customFormat="false" ht="20.95" hidden="false" customHeight="true" outlineLevel="0" collapsed="false">
      <c r="A9" s="38" t="s">
        <v>325</v>
      </c>
      <c r="B9" s="38"/>
      <c r="C9" s="38"/>
      <c r="D9" s="39" t="n">
        <v>117</v>
      </c>
      <c r="E9" s="39"/>
      <c r="F9" s="39"/>
      <c r="G9" s="39"/>
      <c r="H9" s="40" t="s">
        <v>326</v>
      </c>
      <c r="I9" s="40"/>
      <c r="J9" s="40"/>
    </row>
    <row r="10" customFormat="false" ht="20.95" hidden="false" customHeight="true" outlineLevel="0" collapsed="false">
      <c r="A10" s="38" t="s">
        <v>327</v>
      </c>
      <c r="B10" s="38"/>
      <c r="C10" s="38"/>
      <c r="D10" s="39" t="str">
        <f aca="false">SAISIE!B8</f>
        <v>117-1-1-1-01</v>
      </c>
      <c r="E10" s="39"/>
      <c r="F10" s="39"/>
      <c r="G10" s="39"/>
      <c r="H10" s="40"/>
      <c r="I10" s="40"/>
      <c r="J10" s="40"/>
    </row>
    <row r="11" customFormat="false" ht="20.95" hidden="false" customHeight="true" outlineLevel="0" collapsed="false">
      <c r="A11" s="38" t="s">
        <v>328</v>
      </c>
      <c r="B11" s="38"/>
      <c r="C11" s="38"/>
      <c r="D11" s="39" t="s">
        <v>329</v>
      </c>
      <c r="E11" s="39"/>
      <c r="F11" s="39"/>
      <c r="G11" s="39"/>
      <c r="H11" s="38" t="s">
        <v>330</v>
      </c>
      <c r="I11" s="38"/>
      <c r="J11" s="49" t="s">
        <v>331</v>
      </c>
    </row>
    <row r="12" customFormat="false" ht="20.95" hidden="false" customHeight="true" outlineLevel="0" collapsed="false">
      <c r="A12" s="38" t="s">
        <v>258</v>
      </c>
      <c r="B12" s="38"/>
      <c r="C12" s="38"/>
      <c r="D12" s="50" t="str">
        <f aca="false">IF(SAISIE!B9&lt;&gt;"",SAISIE!B9,"")</f>
        <v>6241 Indemnités de mission intérieure</v>
      </c>
      <c r="E12" s="50"/>
      <c r="F12" s="50"/>
      <c r="G12" s="50"/>
      <c r="H12" s="50"/>
      <c r="I12" s="50"/>
      <c r="J12" s="50"/>
    </row>
    <row r="13" customFormat="false" ht="20.95" hidden="false" customHeight="true" outlineLevel="0" collapsed="false">
      <c r="A13" s="51"/>
      <c r="B13" s="51"/>
      <c r="C13" s="51"/>
      <c r="D13" s="51"/>
      <c r="E13" s="51"/>
      <c r="F13" s="51"/>
      <c r="G13" s="51"/>
      <c r="H13" s="51"/>
      <c r="I13" s="51"/>
      <c r="J13" s="51"/>
    </row>
    <row r="14" customFormat="false" ht="20.95" hidden="false" customHeight="true" outlineLevel="0" collapsed="false">
      <c r="A14" s="38" t="s">
        <v>332</v>
      </c>
      <c r="B14" s="38"/>
      <c r="C14" s="38"/>
      <c r="D14" s="38"/>
      <c r="E14" s="38"/>
      <c r="F14" s="38" t="s">
        <v>333</v>
      </c>
      <c r="G14" s="38"/>
      <c r="H14" s="38"/>
      <c r="I14" s="38"/>
      <c r="J14" s="38"/>
    </row>
    <row r="15" customFormat="false" ht="20.95" hidden="false" customHeight="true" outlineLevel="0" collapsed="false">
      <c r="A15" s="52" t="s">
        <v>334</v>
      </c>
      <c r="B15" s="53" t="str">
        <f aca="false">IF(SAISIE!B2="INDEMNITE DE GARDE PERMANENTE","- Ordre de mission
- Etat de décompte",IF(SAISIE!B2="INDEMNITE D'APPROVISIONNEMENT DE FONDS","Ordre de route",IF(SAISIE!B2="FRAIS DE DEPLACEMENT INTERIEUR","- Photocopie certifiée de l'ordre de route
- Billet","")))</f>
        <v>- Ordre de mission
- Etat de décompte</v>
      </c>
      <c r="C15" s="53"/>
      <c r="D15" s="53"/>
      <c r="E15" s="53"/>
      <c r="F15" s="39" t="s">
        <v>335</v>
      </c>
      <c r="G15" s="39"/>
      <c r="H15" s="39"/>
      <c r="I15" s="54"/>
      <c r="J15" s="54"/>
    </row>
    <row r="16" customFormat="false" ht="20.95" hidden="false" customHeight="true" outlineLevel="0" collapsed="false">
      <c r="A16" s="55"/>
      <c r="B16" s="53"/>
      <c r="C16" s="53"/>
      <c r="D16" s="53"/>
      <c r="E16" s="53"/>
      <c r="F16" s="39" t="s">
        <v>336</v>
      </c>
      <c r="G16" s="39"/>
      <c r="H16" s="39"/>
      <c r="I16" s="39" t="s">
        <v>337</v>
      </c>
      <c r="J16" s="39"/>
    </row>
    <row r="17" customFormat="false" ht="20.95" hidden="false" customHeight="true" outlineLevel="0" collapsed="false">
      <c r="A17" s="56"/>
      <c r="B17" s="53"/>
      <c r="C17" s="53"/>
      <c r="D17" s="53"/>
      <c r="E17" s="53"/>
      <c r="F17" s="39" t="s">
        <v>338</v>
      </c>
      <c r="G17" s="39"/>
      <c r="H17" s="39"/>
      <c r="I17" s="39" t="s">
        <v>339</v>
      </c>
      <c r="J17" s="39"/>
    </row>
    <row r="18" customFormat="false" ht="4.6" hidden="false" customHeight="true" outlineLevel="0" collapsed="false">
      <c r="A18" s="51"/>
      <c r="B18" s="51"/>
      <c r="C18" s="51"/>
      <c r="D18" s="51"/>
      <c r="E18" s="51"/>
      <c r="F18" s="51"/>
      <c r="G18" s="51"/>
      <c r="H18" s="51"/>
      <c r="I18" s="51"/>
      <c r="J18" s="51"/>
    </row>
    <row r="19" customFormat="false" ht="20.95" hidden="false" customHeight="true" outlineLevel="0" collapsed="false">
      <c r="A19" s="38" t="s">
        <v>340</v>
      </c>
      <c r="B19" s="38"/>
      <c r="C19" s="57" t="n">
        <f aca="false">SAISIE!B15</f>
        <v>330000</v>
      </c>
      <c r="D19" s="57"/>
      <c r="E19" s="57"/>
      <c r="F19" s="38" t="s">
        <v>341</v>
      </c>
      <c r="G19" s="38"/>
      <c r="H19" s="38"/>
      <c r="I19" s="38" t="s">
        <v>342</v>
      </c>
      <c r="J19" s="38"/>
    </row>
    <row r="20" customFormat="false" ht="20.95" hidden="false" customHeight="true" outlineLevel="0" collapsed="false">
      <c r="A20" s="38" t="s">
        <v>343</v>
      </c>
      <c r="B20" s="38"/>
      <c r="C20" s="58" t="n">
        <v>0</v>
      </c>
      <c r="D20" s="58"/>
      <c r="E20" s="58"/>
      <c r="F20" s="38" t="s">
        <v>344</v>
      </c>
      <c r="G20" s="38"/>
      <c r="H20" s="38"/>
      <c r="I20" s="54"/>
      <c r="J20" s="54"/>
    </row>
    <row r="21" customFormat="false" ht="20.95" hidden="false" customHeight="true" outlineLevel="0" collapsed="false">
      <c r="A21" s="38" t="s">
        <v>345</v>
      </c>
      <c r="B21" s="38"/>
      <c r="C21" s="57" t="n">
        <f aca="false">C19+C20</f>
        <v>330000</v>
      </c>
      <c r="D21" s="57"/>
      <c r="E21" s="57"/>
      <c r="F21" s="38" t="s">
        <v>284</v>
      </c>
      <c r="G21" s="38"/>
      <c r="H21" s="38"/>
      <c r="I21" s="54"/>
      <c r="J21" s="54"/>
    </row>
    <row r="22" customFormat="false" ht="20.95" hidden="false" customHeight="true" outlineLevel="0" collapsed="false">
      <c r="A22" s="37" t="s">
        <v>346</v>
      </c>
      <c r="B22" s="37"/>
      <c r="C22" s="37"/>
      <c r="D22" s="37"/>
      <c r="E22" s="37"/>
      <c r="F22" s="38" t="s">
        <v>347</v>
      </c>
      <c r="G22" s="38"/>
      <c r="H22" s="38"/>
      <c r="I22" s="54"/>
      <c r="J22" s="54"/>
    </row>
    <row r="23" customFormat="false" ht="20.95" hidden="false" customHeight="true" outlineLevel="0" collapsed="false">
      <c r="A23" s="38" t="s">
        <v>348</v>
      </c>
      <c r="B23" s="38"/>
      <c r="C23" s="54"/>
      <c r="D23" s="54"/>
      <c r="E23" s="54"/>
      <c r="F23" s="39" t="s">
        <v>349</v>
      </c>
      <c r="G23" s="39"/>
      <c r="H23" s="39"/>
      <c r="I23" s="39" t="s">
        <v>350</v>
      </c>
      <c r="J23" s="39"/>
    </row>
    <row r="24" customFormat="false" ht="20.95" hidden="false" customHeight="true" outlineLevel="0" collapsed="false">
      <c r="A24" s="38" t="s">
        <v>351</v>
      </c>
      <c r="B24" s="38"/>
      <c r="C24" s="54"/>
      <c r="D24" s="54"/>
      <c r="E24" s="54"/>
      <c r="F24" s="39" t="s">
        <v>352</v>
      </c>
      <c r="G24" s="39"/>
      <c r="H24" s="39"/>
      <c r="I24" s="39" t="s">
        <v>353</v>
      </c>
      <c r="J24" s="39"/>
    </row>
    <row r="25" customFormat="false" ht="20.95" hidden="false" customHeight="true" outlineLevel="0" collapsed="false">
      <c r="A25" s="38" t="s">
        <v>354</v>
      </c>
      <c r="B25" s="38"/>
      <c r="C25" s="54"/>
      <c r="D25" s="54"/>
      <c r="E25" s="54"/>
      <c r="F25" s="59" t="s">
        <v>355</v>
      </c>
      <c r="G25" s="59"/>
      <c r="H25" s="59"/>
      <c r="I25" s="59"/>
      <c r="J25" s="59"/>
    </row>
    <row r="26" customFormat="false" ht="20.95" hidden="false" customHeight="true" outlineLevel="0" collapsed="false">
      <c r="A26" s="37" t="s">
        <v>356</v>
      </c>
      <c r="B26" s="37"/>
      <c r="C26" s="37"/>
      <c r="D26" s="37"/>
      <c r="E26" s="37"/>
      <c r="F26" s="59"/>
      <c r="G26" s="59"/>
      <c r="H26" s="59"/>
      <c r="I26" s="59"/>
      <c r="J26" s="59"/>
    </row>
    <row r="27" customFormat="false" ht="20.95" hidden="false" customHeight="true" outlineLevel="0" collapsed="false">
      <c r="A27" s="38" t="s">
        <v>357</v>
      </c>
      <c r="B27" s="38"/>
      <c r="C27" s="59" t="s">
        <v>358</v>
      </c>
      <c r="D27" s="59"/>
      <c r="E27" s="59"/>
      <c r="F27" s="59"/>
      <c r="G27" s="59"/>
      <c r="H27" s="59"/>
      <c r="I27" s="59"/>
      <c r="J27" s="59"/>
    </row>
    <row r="28" customFormat="false" ht="20.95" hidden="false" customHeight="true" outlineLevel="0" collapsed="false">
      <c r="A28" s="38" t="s">
        <v>359</v>
      </c>
      <c r="B28" s="38"/>
      <c r="C28" s="60"/>
      <c r="D28" s="60"/>
      <c r="E28" s="60"/>
      <c r="F28" s="61" t="s">
        <v>360</v>
      </c>
      <c r="G28" s="61"/>
      <c r="H28" s="61"/>
      <c r="I28" s="61"/>
      <c r="J28" s="61"/>
    </row>
    <row r="29" customFormat="false" ht="20.95" hidden="false" customHeight="true" outlineLevel="0" collapsed="false">
      <c r="A29" s="37" t="s">
        <v>361</v>
      </c>
      <c r="B29" s="37"/>
      <c r="C29" s="37"/>
      <c r="D29" s="37"/>
      <c r="E29" s="37"/>
      <c r="F29" s="61"/>
      <c r="G29" s="61"/>
      <c r="H29" s="61"/>
      <c r="I29" s="61"/>
      <c r="J29" s="61"/>
    </row>
    <row r="30" customFormat="false" ht="20.95" hidden="false" customHeight="true" outlineLevel="0" collapsed="false">
      <c r="A30" s="38" t="s">
        <v>362</v>
      </c>
      <c r="B30" s="38"/>
      <c r="C30" s="54"/>
      <c r="D30" s="54"/>
      <c r="E30" s="54"/>
      <c r="F30" s="61"/>
      <c r="G30" s="61"/>
      <c r="H30" s="61"/>
      <c r="I30" s="61"/>
      <c r="J30" s="61"/>
    </row>
    <row r="31" customFormat="false" ht="20.95" hidden="false" customHeight="true" outlineLevel="0" collapsed="false">
      <c r="A31" s="38" t="s">
        <v>363</v>
      </c>
      <c r="B31" s="38"/>
      <c r="C31" s="54"/>
      <c r="D31" s="54"/>
      <c r="E31" s="54"/>
      <c r="F31" s="61"/>
      <c r="G31" s="61"/>
      <c r="H31" s="61"/>
      <c r="I31" s="61"/>
      <c r="J31" s="61"/>
    </row>
    <row r="32" customFormat="false" ht="20.95" hidden="false" customHeight="true" outlineLevel="0" collapsed="false">
      <c r="A32" s="38" t="s">
        <v>364</v>
      </c>
      <c r="B32" s="38"/>
      <c r="C32" s="54"/>
      <c r="D32" s="54"/>
      <c r="E32" s="54"/>
      <c r="F32" s="62" t="s">
        <v>365</v>
      </c>
      <c r="G32" s="62"/>
      <c r="H32" s="62"/>
      <c r="I32" s="62"/>
      <c r="J32" s="63" t="str">
        <f aca="false">IF(SAISIE!B20&lt;&gt;"","F00"&amp;SAISIE!B20,"")</f>
        <v>F00357484</v>
      </c>
    </row>
    <row r="33" customFormat="false" ht="20.95" hidden="false" customHeight="true" outlineLevel="0" collapsed="false">
      <c r="A33" s="38" t="s">
        <v>366</v>
      </c>
      <c r="B33" s="38"/>
      <c r="C33" s="54"/>
      <c r="D33" s="54"/>
      <c r="E33" s="54"/>
      <c r="F33" s="62"/>
      <c r="G33" s="62"/>
      <c r="H33" s="62"/>
      <c r="I33" s="62"/>
      <c r="J33" s="63"/>
    </row>
    <row r="34" customFormat="false" ht="20.95" hidden="false" customHeight="true" outlineLevel="0" collapsed="false">
      <c r="A34" s="64" t="s">
        <v>367</v>
      </c>
      <c r="B34" s="64"/>
      <c r="C34" s="64"/>
      <c r="D34" s="64"/>
      <c r="E34" s="64"/>
      <c r="F34" s="65" t="s">
        <v>368</v>
      </c>
      <c r="G34" s="66" t="str">
        <f aca="false">IF(SAISIE!B19&lt;&gt;"",SAISIE!B19,"")</f>
        <v>ANDRIAMIALISON Johany Michael</v>
      </c>
      <c r="H34" s="66"/>
      <c r="I34" s="66"/>
      <c r="J34" s="66"/>
    </row>
    <row r="35" customFormat="false" ht="20.95" hidden="false" customHeight="true" outlineLevel="0" collapsed="false">
      <c r="A35" s="67" t="str">
        <f aca="false">SAISIE!B28</f>
        <v>Paiement d'indemnité(s) de mission intérieure de garde permanente
a/n de ANDRIAMIALISON Johany Michael
au titre du mois de (d') Mai à Août 2026
auprès de la PP Marovoay</v>
      </c>
      <c r="B35" s="67"/>
      <c r="C35" s="67"/>
      <c r="D35" s="67"/>
      <c r="E35" s="67"/>
      <c r="F35" s="65"/>
      <c r="G35" s="66"/>
      <c r="H35" s="66"/>
      <c r="I35" s="66"/>
      <c r="J35" s="66"/>
    </row>
    <row r="36" customFormat="false" ht="20.95" hidden="false" customHeight="true" outlineLevel="0" collapsed="false">
      <c r="A36" s="67"/>
      <c r="B36" s="67"/>
      <c r="C36" s="67"/>
      <c r="D36" s="67"/>
      <c r="E36" s="67"/>
      <c r="F36" s="65"/>
      <c r="G36" s="66"/>
      <c r="H36" s="66"/>
      <c r="I36" s="66"/>
      <c r="J36" s="66"/>
    </row>
    <row r="37" customFormat="false" ht="63" hidden="false" customHeight="true" outlineLevel="0" collapsed="false">
      <c r="A37" s="67"/>
      <c r="B37" s="67"/>
      <c r="C37" s="67"/>
      <c r="D37" s="67"/>
      <c r="E37" s="67"/>
      <c r="F37" s="68" t="s">
        <v>369</v>
      </c>
      <c r="G37" s="69" t="n">
        <f aca="false">IF(SAISIE!B21&lt;&gt;"",SAISIE!B21,"")</f>
        <v>101221096930</v>
      </c>
      <c r="H37" s="69"/>
      <c r="I37" s="69"/>
      <c r="J37" s="69"/>
    </row>
    <row r="38" customFormat="false" ht="20.95" hidden="false" customHeight="true" outlineLevel="0" collapsed="false">
      <c r="A38" s="38" t="s">
        <v>370</v>
      </c>
      <c r="B38" s="38"/>
      <c r="C38" s="57" t="n">
        <f aca="false">C21</f>
        <v>330000</v>
      </c>
      <c r="D38" s="57"/>
      <c r="E38" s="57"/>
      <c r="F38" s="70" t="s">
        <v>371</v>
      </c>
      <c r="G38" s="71" t="str">
        <f aca="false">IF(SAISIE!B22&lt;&gt;"",SAISIE!B22,"")</f>
        <v>CSP MAROVOAY</v>
      </c>
      <c r="H38" s="71"/>
      <c r="I38" s="71"/>
      <c r="J38" s="71"/>
    </row>
    <row r="39" customFormat="false" ht="20.95" hidden="false" customHeight="true" outlineLevel="0" collapsed="false">
      <c r="A39" s="38" t="s">
        <v>372</v>
      </c>
      <c r="B39" s="38"/>
      <c r="C39" s="57" t="n">
        <v>0</v>
      </c>
      <c r="D39" s="57"/>
      <c r="E39" s="57"/>
      <c r="F39" s="70"/>
      <c r="G39" s="71"/>
      <c r="H39" s="71"/>
      <c r="I39" s="71"/>
      <c r="J39" s="71"/>
    </row>
    <row r="40" customFormat="false" ht="20.95" hidden="false" customHeight="true" outlineLevel="0" collapsed="false">
      <c r="A40" s="38" t="s">
        <v>373</v>
      </c>
      <c r="B40" s="38"/>
      <c r="C40" s="57" t="n">
        <f aca="false">C38+C39</f>
        <v>330000</v>
      </c>
      <c r="D40" s="57"/>
      <c r="E40" s="57"/>
      <c r="F40" s="70"/>
      <c r="G40" s="71"/>
      <c r="H40" s="71"/>
      <c r="I40" s="71"/>
      <c r="J40" s="71"/>
    </row>
    <row r="41" customFormat="false" ht="20.95" hidden="false" customHeight="true" outlineLevel="0" collapsed="false">
      <c r="A41" s="72" t="s">
        <v>374</v>
      </c>
      <c r="B41" s="72"/>
      <c r="C41" s="72"/>
      <c r="D41" s="72"/>
      <c r="E41" s="72"/>
      <c r="F41" s="73" t="s">
        <v>375</v>
      </c>
      <c r="G41" s="73"/>
      <c r="H41" s="73"/>
      <c r="I41" s="73"/>
      <c r="J41" s="73"/>
    </row>
    <row r="42" customFormat="false" ht="60.05" hidden="false" customHeight="true" outlineLevel="0" collapsed="false">
      <c r="A42" s="74" t="e">
        <f aca="false">SAISIE!B16</f>
        <v>#VALUE!</v>
      </c>
      <c r="B42" s="74"/>
      <c r="C42" s="74"/>
      <c r="D42" s="74"/>
      <c r="E42" s="74"/>
      <c r="F42" s="73"/>
      <c r="G42" s="73"/>
      <c r="H42" s="73"/>
      <c r="I42" s="73"/>
      <c r="J42" s="73"/>
    </row>
    <row r="43" customFormat="false" ht="20.95" hidden="false" customHeight="true" outlineLevel="0" collapsed="false">
      <c r="A43" s="75" t="str">
        <f aca="false">"Fait à "&amp;SAISIE!B24&amp;", le "&amp;SAISIE!B26&amp;"
(Signature et timbre du Chef de Poste)"</f>
        <v>Fait à Marovoay, le 01/10/2026
(Signature et timbre du Chef de Poste)</v>
      </c>
      <c r="B43" s="75"/>
      <c r="C43" s="75"/>
      <c r="D43" s="75"/>
      <c r="E43" s="75"/>
      <c r="F43" s="73"/>
      <c r="G43" s="73"/>
      <c r="H43" s="73"/>
      <c r="I43" s="73"/>
      <c r="J43" s="73"/>
    </row>
    <row r="44" customFormat="false" ht="20.95" hidden="false" customHeight="true" outlineLevel="0" collapsed="false">
      <c r="A44" s="75"/>
      <c r="B44" s="75"/>
      <c r="C44" s="75"/>
      <c r="D44" s="75"/>
      <c r="E44" s="75"/>
      <c r="F44" s="73"/>
      <c r="G44" s="73"/>
      <c r="H44" s="73"/>
      <c r="I44" s="73"/>
      <c r="J44" s="73"/>
    </row>
    <row r="45" customFormat="false" ht="20.95" hidden="false" customHeight="true" outlineLevel="0" collapsed="false">
      <c r="A45" s="75"/>
      <c r="B45" s="75"/>
      <c r="C45" s="75"/>
      <c r="D45" s="75"/>
      <c r="E45" s="75"/>
      <c r="F45" s="73"/>
      <c r="G45" s="73"/>
      <c r="H45" s="73"/>
      <c r="I45" s="73"/>
      <c r="J45" s="73"/>
    </row>
    <row r="46" customFormat="false" ht="20.95" hidden="false" customHeight="true" outlineLevel="0" collapsed="false">
      <c r="A46" s="75"/>
      <c r="B46" s="75"/>
      <c r="C46" s="75"/>
      <c r="D46" s="75"/>
      <c r="E46" s="75"/>
      <c r="F46" s="73"/>
      <c r="G46" s="73"/>
      <c r="H46" s="73"/>
      <c r="I46" s="73"/>
      <c r="J46" s="73"/>
    </row>
    <row r="47" customFormat="false" ht="20.95" hidden="false" customHeight="true" outlineLevel="0" collapsed="false">
      <c r="A47" s="75"/>
      <c r="B47" s="75"/>
      <c r="C47" s="75"/>
      <c r="D47" s="75"/>
      <c r="E47" s="75"/>
      <c r="F47" s="73"/>
      <c r="G47" s="73"/>
      <c r="H47" s="73"/>
      <c r="I47" s="73"/>
      <c r="J47" s="73"/>
    </row>
    <row r="48" customFormat="false" ht="20.95" hidden="false" customHeight="true" outlineLevel="0" collapsed="false">
      <c r="A48" s="75"/>
      <c r="B48" s="75"/>
      <c r="C48" s="75"/>
      <c r="D48" s="75"/>
      <c r="E48" s="75"/>
      <c r="F48" s="73"/>
      <c r="G48" s="73"/>
      <c r="H48" s="73"/>
      <c r="I48" s="73"/>
      <c r="J48" s="73"/>
    </row>
    <row r="49" customFormat="false" ht="20.95" hidden="false" customHeight="true" outlineLevel="0" collapsed="false">
      <c r="A49" s="75"/>
      <c r="B49" s="75"/>
      <c r="C49" s="75"/>
      <c r="D49" s="75"/>
      <c r="E49" s="75"/>
      <c r="F49" s="73"/>
      <c r="G49" s="73"/>
      <c r="H49" s="73"/>
      <c r="I49" s="73"/>
      <c r="J49" s="73"/>
    </row>
    <row r="50" customFormat="false" ht="20.95" hidden="false" customHeight="true" outlineLevel="0" collapsed="false">
      <c r="A50" s="75"/>
      <c r="B50" s="75"/>
      <c r="C50" s="75"/>
      <c r="D50" s="75"/>
      <c r="E50" s="75"/>
      <c r="F50" s="73"/>
      <c r="G50" s="73"/>
      <c r="H50" s="73"/>
      <c r="I50" s="73"/>
      <c r="J50" s="73"/>
    </row>
    <row r="51" customFormat="false" ht="20.95" hidden="false" customHeight="true" outlineLevel="0" collapsed="false">
      <c r="A51" s="75"/>
      <c r="B51" s="75"/>
      <c r="C51" s="75"/>
      <c r="D51" s="75"/>
      <c r="E51" s="75"/>
      <c r="F51" s="73"/>
      <c r="G51" s="73"/>
      <c r="H51" s="73"/>
      <c r="I51" s="73"/>
      <c r="J51" s="73"/>
    </row>
    <row r="52" customFormat="false" ht="20.95" hidden="false" customHeight="true" outlineLevel="0" collapsed="false">
      <c r="A52" s="75"/>
      <c r="B52" s="75"/>
      <c r="C52" s="75"/>
      <c r="D52" s="75"/>
      <c r="E52" s="75"/>
      <c r="F52" s="73"/>
      <c r="G52" s="73"/>
      <c r="H52" s="73"/>
      <c r="I52" s="73"/>
      <c r="J52" s="73"/>
    </row>
    <row r="53" customFormat="false" ht="14.4" hidden="false" customHeight="false" outlineLevel="0" collapsed="false">
      <c r="A53" s="76"/>
    </row>
    <row r="56" customFormat="false" ht="14.4" hidden="false" customHeight="false" outlineLevel="0" collapsed="false">
      <c r="L56" s="77"/>
      <c r="M56" s="77"/>
    </row>
  </sheetData>
  <mergeCells count="93">
    <mergeCell ref="B2:C2"/>
    <mergeCell ref="D2:G2"/>
    <mergeCell ref="H2:J5"/>
    <mergeCell ref="B3:C3"/>
    <mergeCell ref="A4:A5"/>
    <mergeCell ref="B4:C5"/>
    <mergeCell ref="D5:G6"/>
    <mergeCell ref="B6:C6"/>
    <mergeCell ref="H6:H7"/>
    <mergeCell ref="I6:J7"/>
    <mergeCell ref="B7:C7"/>
    <mergeCell ref="D7:G7"/>
    <mergeCell ref="A8:J8"/>
    <mergeCell ref="A9:C9"/>
    <mergeCell ref="D9:G9"/>
    <mergeCell ref="H9:J10"/>
    <mergeCell ref="A10:C10"/>
    <mergeCell ref="D10:G10"/>
    <mergeCell ref="A11:C11"/>
    <mergeCell ref="D11:G11"/>
    <mergeCell ref="H11:I11"/>
    <mergeCell ref="A12:C12"/>
    <mergeCell ref="D12:J12"/>
    <mergeCell ref="A14:E14"/>
    <mergeCell ref="F14:J14"/>
    <mergeCell ref="B15:E17"/>
    <mergeCell ref="F15:H15"/>
    <mergeCell ref="I15:J15"/>
    <mergeCell ref="F16:H16"/>
    <mergeCell ref="I16:J16"/>
    <mergeCell ref="F17:H17"/>
    <mergeCell ref="I17:J17"/>
    <mergeCell ref="A19:B19"/>
    <mergeCell ref="C19:E19"/>
    <mergeCell ref="F19:H19"/>
    <mergeCell ref="I19:J19"/>
    <mergeCell ref="A20:B20"/>
    <mergeCell ref="C20:E20"/>
    <mergeCell ref="F20:H20"/>
    <mergeCell ref="I20:J20"/>
    <mergeCell ref="A21:B21"/>
    <mergeCell ref="C21:E21"/>
    <mergeCell ref="F21:H21"/>
    <mergeCell ref="I21:J21"/>
    <mergeCell ref="A22:E22"/>
    <mergeCell ref="F22:H22"/>
    <mergeCell ref="I22:J22"/>
    <mergeCell ref="A23:B23"/>
    <mergeCell ref="C23:E23"/>
    <mergeCell ref="F23:H23"/>
    <mergeCell ref="I23:J23"/>
    <mergeCell ref="A24:B24"/>
    <mergeCell ref="C24:E24"/>
    <mergeCell ref="F24:H24"/>
    <mergeCell ref="I24:J24"/>
    <mergeCell ref="A25:B25"/>
    <mergeCell ref="C25:E25"/>
    <mergeCell ref="F25:J27"/>
    <mergeCell ref="A26:E26"/>
    <mergeCell ref="A27:B27"/>
    <mergeCell ref="C27:E27"/>
    <mergeCell ref="A28:B28"/>
    <mergeCell ref="C28:E28"/>
    <mergeCell ref="F28:J31"/>
    <mergeCell ref="A29:E29"/>
    <mergeCell ref="A30:B30"/>
    <mergeCell ref="C30:E30"/>
    <mergeCell ref="A31:B31"/>
    <mergeCell ref="C31:E31"/>
    <mergeCell ref="A32:B32"/>
    <mergeCell ref="C32:E32"/>
    <mergeCell ref="F32:I33"/>
    <mergeCell ref="J32:J33"/>
    <mergeCell ref="A33:B33"/>
    <mergeCell ref="C33:E33"/>
    <mergeCell ref="A34:E34"/>
    <mergeCell ref="F34:F36"/>
    <mergeCell ref="G34:J36"/>
    <mergeCell ref="A35:E37"/>
    <mergeCell ref="G37:J37"/>
    <mergeCell ref="A38:B38"/>
    <mergeCell ref="C38:E38"/>
    <mergeCell ref="F38:F40"/>
    <mergeCell ref="G38:J40"/>
    <mergeCell ref="A39:B39"/>
    <mergeCell ref="C39:E39"/>
    <mergeCell ref="A40:B40"/>
    <mergeCell ref="C40:E40"/>
    <mergeCell ref="A41:E41"/>
    <mergeCell ref="F41:J52"/>
    <mergeCell ref="A42:E42"/>
    <mergeCell ref="A43:E52"/>
    <mergeCell ref="L56:M56"/>
  </mergeCells>
  <printOptions headings="false" gridLines="false" gridLinesSet="true" horizontalCentered="true" verticalCentered="false"/>
  <pageMargins left="0.498611111111111" right="0.236111111111111" top="0.669444444444444" bottom="0.747916666666667" header="0.511811023622047" footer="0.511811023622047"/>
  <pageSetup paperSize="9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2019-01-23T12:17:21Z</dcterms:created>
  <dc:creator>Utilisateur Windows</dc:creator>
  <dc:description/>
  <dc:language>fr-FR</dc:language>
  <cp:lastModifiedBy>Mamisoa Donavann</cp:lastModifiedBy>
  <cp:lastPrinted>2026-10-07T08:55:19Z</cp:lastPrinted>
  <dcterms:modified xsi:type="dcterms:W3CDTF">2026-10-07T08:56:18Z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A2FD2085B7E849C3BBDE55CF63000EF4_12</vt:lpwstr>
  </property>
  <property fmtid="{D5CDD505-2E9C-101B-9397-08002B2CF9AE}" pid="3" name="KSOProductBuildVer">
    <vt:lpwstr>1033-12.2.0.23196</vt:lpwstr>
  </property>
</Properties>
</file>